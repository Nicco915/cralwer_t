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430"/>
  </bookViews>
  <sheets>
    <sheet name="SKU Summary" sheetId="1" r:id="rId1"/>
  </sheets>
  <externalReferences>
    <externalReference r:id="rId2"/>
  </externalReferences>
  <definedNames>
    <definedName name="_xlnm._FilterDatabase" localSheetId="0" hidden="1">'SKU Summary'!$A$1:$F$2501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<sst xmlns="http://schemas.openxmlformats.org/spreadsheetml/2006/main" count="12523" uniqueCount="5095">
  <si>
    <t>SKU</t>
  </si>
  <si>
    <t>Description</t>
  </si>
  <si>
    <t>HTS</t>
  </si>
  <si>
    <t>Container No.</t>
  </si>
  <si>
    <t>PO No.</t>
  </si>
  <si>
    <t>HS</t>
  </si>
  <si>
    <t>100PCSGXBSYT00001V0</t>
  </si>
  <si>
    <t>CHAIR COVER</t>
  </si>
  <si>
    <t>6304930010</t>
  </si>
  <si>
    <t>MSDU6211947</t>
  </si>
  <si>
    <t>Packing list=PL-054902</t>
  </si>
  <si>
    <t>100PCSQBHLYYT0001V0</t>
  </si>
  <si>
    <t>6304910000, 6304930010</t>
  </si>
  <si>
    <t>BMOU4089214, BMOU4422599, CAIU8091272, DRYU9392353, FCIU8346047, GLDU7246065, MSNU8925183, TCNU7880515, TGHU9726809, TGHU9810798</t>
  </si>
  <si>
    <t>Packing list=CZ-055904, Packing list=CZ-055905, Packing list=CZ-055906, Packing list=CZ-055907, Packing list=FR-054747, Packing list=FR-054749, Packing list=FR-054752, Packing list=PL-054770, Packing list=PL-054774, Packing list=PL-055927</t>
  </si>
  <si>
    <t>10CDM-ABSZSJ00001V0</t>
  </si>
  <si>
    <t>BACKDROP STAND</t>
  </si>
  <si>
    <t>8302500000</t>
  </si>
  <si>
    <t>CARU5285706, FCIU8358053</t>
  </si>
  <si>
    <t>Packing list=CZ-055908, Packing list=PL-055929</t>
  </si>
  <si>
    <t>10LJG-001PTJ00001V0</t>
  </si>
  <si>
    <t>POWDER COATING MACHINE</t>
  </si>
  <si>
    <t>7303001020</t>
  </si>
  <si>
    <t>DFSU6555268, FDCU0243422, MSCU5315774</t>
  </si>
  <si>
    <t>Packing list=CZ-055664, Packing list=PL-054559, Packing list=PL-055705</t>
  </si>
  <si>
    <t>10YCGDJW5730XFA8I001V0</t>
  </si>
  <si>
    <t>KNEELER SEAT</t>
  </si>
  <si>
    <t>8302300090</t>
  </si>
  <si>
    <t>CAIU4774748</t>
  </si>
  <si>
    <t>Packing list=PL-054558</t>
  </si>
  <si>
    <t>110BLMCYXYKK59JRSV9</t>
  </si>
  <si>
    <t>ELECTRONIC SCALE</t>
  </si>
  <si>
    <t>8423828100</t>
  </si>
  <si>
    <t>MSMU5818830</t>
  </si>
  <si>
    <t>Packing list=PL-054556</t>
  </si>
  <si>
    <t>12VDZYFXJSYXLIK15001V9</t>
  </si>
  <si>
    <t>HYDRAULIC POWER UNIT</t>
  </si>
  <si>
    <t>8412298990</t>
  </si>
  <si>
    <t>CAIU7378566</t>
  </si>
  <si>
    <t>Packing list=CZ-055677</t>
  </si>
  <si>
    <t>12VDZYFXJSYXU2WWW001V9</t>
  </si>
  <si>
    <t>12VDZYSLYXCZJ3GNE001V9</t>
  </si>
  <si>
    <t>8412292090</t>
  </si>
  <si>
    <t>12VDZYSLYXCZS7IY6001V9</t>
  </si>
  <si>
    <t>12VLWTYNTJ129ROVH001C2V2</t>
  </si>
  <si>
    <t>REVERSE CONTROL KIT</t>
  </si>
  <si>
    <t>8504408790</t>
  </si>
  <si>
    <t>CAIU7140710</t>
  </si>
  <si>
    <t>Packing list=FR-055407</t>
  </si>
  <si>
    <t>12VLWTYNTJ12AKVBU001C2V2</t>
  </si>
  <si>
    <t>12VLWTYNTJ12ZOUDM001C2V2</t>
  </si>
  <si>
    <t>12VSZYFXJSYXEEI28001V9</t>
  </si>
  <si>
    <t>12VTYNFNTJ121Y92N001C1V2</t>
  </si>
  <si>
    <t>12V SOLAR WIND POWER KIT</t>
  </si>
  <si>
    <t>8502310097</t>
  </si>
  <si>
    <t>MSNU8441810</t>
  </si>
  <si>
    <t>Packing list=FR-054886</t>
  </si>
  <si>
    <t>12VTYNFNTJYH5Z4KZ001C1V2</t>
  </si>
  <si>
    <t>WIND SOLAR POWER SYSTEM</t>
  </si>
  <si>
    <t>MSDU6523858</t>
  </si>
  <si>
    <t>Packing list=FR-054890</t>
  </si>
  <si>
    <t>20.25X14YC3CBXGCTV0</t>
  </si>
  <si>
    <t>OUTDOOR KITCHEN DRAWERS</t>
  </si>
  <si>
    <t>8302419000</t>
  </si>
  <si>
    <t>TEMU6360421</t>
  </si>
  <si>
    <t>list=ES-049340</t>
  </si>
  <si>
    <t>22.7LQDCYJ0000001V0</t>
  </si>
  <si>
    <t>OIL DRAIN TANK</t>
  </si>
  <si>
    <t>8414600000</t>
  </si>
  <si>
    <t>220BLMCYXYKKMJVL1V9</t>
  </si>
  <si>
    <t>28ZDAQZ28YC4I2SSDV0</t>
  </si>
  <si>
    <t>SAFETY CONES</t>
  </si>
  <si>
    <t>3926905000</t>
  </si>
  <si>
    <t>MEDU7093501, TGBU4628768</t>
  </si>
  <si>
    <t>Packing list=CZ-055903, Packing list=PL-054773</t>
  </si>
  <si>
    <t xml:space="preserve">6307.90.9899 </t>
  </si>
  <si>
    <t>2G3000WKQD0000001V2</t>
  </si>
  <si>
    <t>INFRARED PAINT LAMP</t>
  </si>
  <si>
    <t>8419891000</t>
  </si>
  <si>
    <t>MSBU7968460</t>
  </si>
  <si>
    <t>list=IT-052076</t>
  </si>
  <si>
    <t>2H1ZCCT52JT1LWFL2001V0</t>
  </si>
  <si>
    <t>BEARING AND SEAL DRIVER SET</t>
  </si>
  <si>
    <t>7326909210</t>
  </si>
  <si>
    <t>CAAU5661620, MSDU8279268, TXGU6715988</t>
  </si>
  <si>
    <t>Packing list=CZ-055655, Packing list=CZ-055660, Packing list=PL-055706</t>
  </si>
  <si>
    <t>2JTJBDCWGNWFQ1SDC001V0</t>
  </si>
  <si>
    <t>HOT TUB STEP</t>
  </si>
  <si>
    <t>7326903000</t>
  </si>
  <si>
    <t>CAIU7733254, MSBU8246837</t>
  </si>
  <si>
    <t>Packing list=CZ-056449, Packing list=PL-056510</t>
  </si>
  <si>
    <t>2TCCDGJ0000000001V0</t>
  </si>
  <si>
    <t>HOISTING HOOKS</t>
  </si>
  <si>
    <t>7315820000</t>
  </si>
  <si>
    <t>MSDU6211947, TCLU8016320</t>
  </si>
  <si>
    <t>Packing list=CZ-056026, Packing list=PL-054902</t>
  </si>
  <si>
    <t>30KGGZ00000000001V0</t>
  </si>
  <si>
    <t>ANVIL</t>
  </si>
  <si>
    <t>7303001010</t>
  </si>
  <si>
    <t>MSMU8224934</t>
  </si>
  <si>
    <t>list=FR-052059</t>
  </si>
  <si>
    <t>30YFZQWZJ8LXX4BJCV0</t>
  </si>
  <si>
    <t>CARILLON</t>
  </si>
  <si>
    <t>9205100000</t>
  </si>
  <si>
    <t>SELU4270474</t>
  </si>
  <si>
    <t>list=ES-049339</t>
  </si>
  <si>
    <t>30YFZQWZJWLXDYZRGV0</t>
  </si>
  <si>
    <t>FFAU2882889, MSBU7968460</t>
  </si>
  <si>
    <t>list=IT-049334, list=IT-052076</t>
  </si>
  <si>
    <t>316BXGGSS150M0001V0</t>
  </si>
  <si>
    <t>STEEL WIRE ROPE</t>
  </si>
  <si>
    <t>7408290000</t>
  </si>
  <si>
    <t>FSCU6992068, MSNU8441810, MSNU9783205</t>
  </si>
  <si>
    <t>Packing list=CZ-056028, Packing list=FR-054886, Packing list=PL-054904</t>
  </si>
  <si>
    <t>316BXGGSS300M0001V0</t>
  </si>
  <si>
    <t>316GSS7X700000001V0</t>
  </si>
  <si>
    <t>32YFZQWZJWLXWXEC2V0</t>
  </si>
  <si>
    <t>FFAU2882889</t>
  </si>
  <si>
    <t>list=IT-049334</t>
  </si>
  <si>
    <t>32YFZQYZJWLX0A1C1V0</t>
  </si>
  <si>
    <t>3G3000WKQD0000001V2</t>
  </si>
  <si>
    <t>3GCYZYP6L546U9R6PV0</t>
  </si>
  <si>
    <t>BOAT BIMINI TOP</t>
  </si>
  <si>
    <t>6306290000</t>
  </si>
  <si>
    <t>MSBU5511156, MSCU5315774</t>
  </si>
  <si>
    <t>Packing list=CZ-055664, Packing list=PL-054560</t>
  </si>
  <si>
    <t>3GCYZYP6L616V1U3RV0</t>
  </si>
  <si>
    <t>MSCU5315774</t>
  </si>
  <si>
    <t>Packing list=CZ-055664</t>
  </si>
  <si>
    <t>3GCYZYP727373ZGKJV0</t>
  </si>
  <si>
    <t>FDCU0243422, MSCU5315774</t>
  </si>
  <si>
    <t>Packing list=CZ-055664, Packing list=PL-054559</t>
  </si>
  <si>
    <t>3GCYZYP727377AOHJV0</t>
  </si>
  <si>
    <t>3GCYZYP72798912JDV0</t>
  </si>
  <si>
    <t>3GCYZYP72798DRZO8V0</t>
  </si>
  <si>
    <t>3GCYZYP72859B0WDDV0</t>
  </si>
  <si>
    <t>3GCYZYP72859PTV1WV0</t>
  </si>
  <si>
    <t>3JTJBDCWGNDFTIP0Z001V0</t>
  </si>
  <si>
    <t>3JTLCGXB000000001V0</t>
  </si>
  <si>
    <t>CABLE COVER</t>
  </si>
  <si>
    <t>MSDU8587147, UETU6075441</t>
  </si>
  <si>
    <t>Packing list=CZ-054516, Packing list=PL-054561</t>
  </si>
  <si>
    <t>3TCCDGJ0000000001V0</t>
  </si>
  <si>
    <t>4.8CFM1/3HPZKB3F1V2</t>
  </si>
  <si>
    <t>VACUUM PUMP</t>
  </si>
  <si>
    <t>8414801190</t>
  </si>
  <si>
    <t>430BXGCJTZ1061WT7V0</t>
  </si>
  <si>
    <t>FLATWARE SETS</t>
  </si>
  <si>
    <t>7323930090</t>
  </si>
  <si>
    <t>CAIU7733254, MSBU8246837, MSMU6450125</t>
  </si>
  <si>
    <t>Packing list=CZ-056449, Packing list=IT-056492, Packing list=PL-056510</t>
  </si>
  <si>
    <t>430BXGCJTZBXZMV36V0</t>
  </si>
  <si>
    <t>430BXGCJTZHSERY1IV0</t>
  </si>
  <si>
    <t>4CFM1/3HPZKB4F001V2</t>
  </si>
  <si>
    <t>4CFM1/4HPZKB1F001V2</t>
  </si>
  <si>
    <t>4FTHWTYFSBLACK001V0</t>
  </si>
  <si>
    <t>IRON HANDRAIL</t>
  </si>
  <si>
    <t>8302411000</t>
  </si>
  <si>
    <t>CLHU8567219, GLDU7246065</t>
  </si>
  <si>
    <t>Packing list=CZ-055906, Packing list=PL-055928</t>
  </si>
  <si>
    <t>4GCYZYP966770T6ZCV0</t>
  </si>
  <si>
    <t>4GCYZYP9673790I41V0</t>
  </si>
  <si>
    <t>4GCYZYP96737MVI3CV0</t>
  </si>
  <si>
    <t>4GCYZYP967989XHO1V0</t>
  </si>
  <si>
    <t>4GCYZYPDCL8LAGQAHV0</t>
  </si>
  <si>
    <t>6306190000</t>
  </si>
  <si>
    <t>4GCYZYPDCL8LDA81UV0</t>
  </si>
  <si>
    <t>4TDABL4X300WNF5GG001V9</t>
  </si>
  <si>
    <t>CAR  AMPLIFIERS</t>
  </si>
  <si>
    <t>8518400090</t>
  </si>
  <si>
    <t>MSDU5039896</t>
  </si>
  <si>
    <t>Packing list=IT-055413</t>
  </si>
  <si>
    <t>50TGXBSYT00000001V0</t>
  </si>
  <si>
    <t>MSMU8858857, UETU8215795, UETU8218304</t>
  </si>
  <si>
    <t>Packing list=CZ-056027, Packing list=FR-054887, Packing list=PL-054905</t>
  </si>
  <si>
    <t>50TQBBSYT00000001V0</t>
  </si>
  <si>
    <t>55LBSTZ0000000001V0</t>
  </si>
  <si>
    <t>BEAU4243644, CAAU6199835, CSNU6554247, MSMU8224934, TCKU6211341</t>
  </si>
  <si>
    <t>list=CZ-050499, list=CZ-050501, list=FR-050517, list=FR-052059, list=FR-052081</t>
  </si>
  <si>
    <t>5JLTZSSTSTZCIZWDLV0</t>
  </si>
  <si>
    <t>WATER JUG HOLDER</t>
  </si>
  <si>
    <t>MSDU7341776, MSMU6450125, MSNU8909623</t>
  </si>
  <si>
    <t>Packing list=CZ-056448, Packing list=IT-056492, Packing list=PL-056511</t>
  </si>
  <si>
    <t>5JLTZSSTSTZCL7OHRV0</t>
  </si>
  <si>
    <t>MSDU7341776, MSMU6450125, MSMU8087533</t>
  </si>
  <si>
    <t>Packing list=CZ-056448, Packing list=IT-056492, Packing list=PL-056501</t>
  </si>
  <si>
    <t>5JLTZSSTSTZCX729CV0</t>
  </si>
  <si>
    <t>MSDU7341776, MSMU8087533</t>
  </si>
  <si>
    <t>Packing list=CZ-056448, Packing list=PL-056501</t>
  </si>
  <si>
    <t>60X60X80CFGZTTZT1V0</t>
  </si>
  <si>
    <t>WORKBENCH</t>
  </si>
  <si>
    <t>BEAU4243644, CMAU3392208</t>
  </si>
  <si>
    <t>list=CZ-050500, list=FR-052081</t>
  </si>
  <si>
    <t>60X60X88CFGZTTZT1V0</t>
  </si>
  <si>
    <t>BEAU4243644, CMAU3392208, CRSU9206051, FFAU2254455, TGHU9193042, TIIU4570916</t>
  </si>
  <si>
    <t>list=CZ-050500, list=CZ-050504, list=FR-050518, list=FR-052064, list=FR-052081, list=IT-052075</t>
  </si>
  <si>
    <t>60X76X80CFGZTTZT1V0</t>
  </si>
  <si>
    <t>STEEL KITCHEN TABLE, WORKBENCH</t>
  </si>
  <si>
    <t>BEAU4243644, CAIU4763614, CSNU8950231, FFAU2254455, SELU4270474, TCNU2185423</t>
  </si>
  <si>
    <t>list=CZ-050503, list=ES-049339, list=FR-049320, list=FR-052062, list=FR-052081, list=IT-052075</t>
  </si>
  <si>
    <t>60X90X80CFGZT0001V0</t>
  </si>
  <si>
    <t>BEAU4243644, CAIU4763614, FFAU2254455, TCNU2185423, TIIU4570916</t>
  </si>
  <si>
    <t>list=CZ-050503, list=FR-050518, list=FR-052062, list=FR-052081, list=IT-052075</t>
  </si>
  <si>
    <t>61JBPZSMGQ61JYYXMV9</t>
  </si>
  <si>
    <t>PIANO</t>
  </si>
  <si>
    <t>9205100000, 9207105000</t>
  </si>
  <si>
    <t>MSDU5115018, TCLU4986759</t>
  </si>
  <si>
    <t>Packing list=CZ-056446, Packing list=PL-056500</t>
  </si>
  <si>
    <t>6LZLSJZXID6LGX8NE001V2</t>
  </si>
  <si>
    <t>DISTILLED WATER MACHINE</t>
  </si>
  <si>
    <t>8419400090</t>
  </si>
  <si>
    <t>BMOU4089214, BMOU4422599, DRYU9392353</t>
  </si>
  <si>
    <t>Packing list=CZ-055904, Packing list=FR-054747, Packing list=PL-054774</t>
  </si>
  <si>
    <t>6YCGDJKZDK2GGCLRN001V0</t>
  </si>
  <si>
    <t>70ELJYBXG00000001V0</t>
  </si>
  <si>
    <t>SAFE BOX</t>
  </si>
  <si>
    <t>8303004000</t>
  </si>
  <si>
    <t>BEAU4243644</t>
  </si>
  <si>
    <t>list=FR-052081</t>
  </si>
  <si>
    <t>77YCDPJXLW77G44GZV0</t>
  </si>
  <si>
    <t>BASEBALL PRACTICE NE</t>
  </si>
  <si>
    <t>9506919000</t>
  </si>
  <si>
    <t>77YCZYWWK77Y24NJKV0</t>
  </si>
  <si>
    <t>TCLU9113325</t>
  </si>
  <si>
    <t>Packing list=IT-055414</t>
  </si>
  <si>
    <t>88JBPZSMGQ88N6BDSV2</t>
  </si>
  <si>
    <t>9207105000</t>
  </si>
  <si>
    <t>FFAU3066180, MSDU5039896, MSMU8074217, MSMU8753250</t>
  </si>
  <si>
    <t>Packing list=CZ-056447, Packing list=IT-055413, Packing list=IT-056493, Packing list=PL-056503</t>
  </si>
  <si>
    <t>9KWSNZQJ000000001V2</t>
  </si>
  <si>
    <t>STEAM GENERATOR</t>
  </si>
  <si>
    <t>8402191000</t>
  </si>
  <si>
    <t>CAIU7733254, MSMU8074217</t>
  </si>
  <si>
    <t>Packing list=PL-056510, Packing list=IT-056493</t>
  </si>
  <si>
    <t>AMYLEDPBBSSL9VL3H001V2</t>
  </si>
  <si>
    <t>MASSAGE CHAIR</t>
  </si>
  <si>
    <t>9019101000</t>
  </si>
  <si>
    <t>BEAU5878887, MSDU8279268</t>
  </si>
  <si>
    <t>Packing list=CZ-055658, Packing list=PL-055706</t>
  </si>
  <si>
    <t>AMYLEDPBBSSLGKMIJ001V2</t>
  </si>
  <si>
    <t>AQMANSITYPE127YWH001V0</t>
  </si>
  <si>
    <t>HARD HAT</t>
  </si>
  <si>
    <t>3926906000</t>
  </si>
  <si>
    <t>MSDU8279268, TXGU6715988</t>
  </si>
  <si>
    <t>Packing list=CZ-055660, Packing list=PL-055706</t>
  </si>
  <si>
    <t>AQMANSITYPE1GUAN2001V0</t>
  </si>
  <si>
    <t>AQMANSITYPE1L9NAX001V0</t>
  </si>
  <si>
    <t>AQSJTZ60JDGB62SHMV0</t>
  </si>
  <si>
    <t>LOCKOUT TAGOUT KIT</t>
  </si>
  <si>
    <t>7323910000</t>
  </si>
  <si>
    <t>MSDU8088467</t>
  </si>
  <si>
    <t>Packing list=PL-054772</t>
  </si>
  <si>
    <t>8301.10.0000</t>
  </si>
  <si>
    <t>AQZ36X4.5INHS0001V0</t>
  </si>
  <si>
    <t>SAFETY BOLLARDS</t>
  </si>
  <si>
    <t>7308909890</t>
  </si>
  <si>
    <t>AXIU1638505, FFAU4034300</t>
  </si>
  <si>
    <t>Packing list=FR-054748, Packing list=PL-054775</t>
  </si>
  <si>
    <t>ATVGSSJP2000PXII1V9</t>
  </si>
  <si>
    <t>ELECTRIC WINCH</t>
  </si>
  <si>
    <t>CAIU7575647, FDCU0243422</t>
  </si>
  <si>
    <t>Packing list=CZ-055663, Packing list=PL-054559</t>
  </si>
  <si>
    <t>ATVGSSJPYXWXEJRPBV9</t>
  </si>
  <si>
    <t>ATVGSSJPYXYK43JX7V9</t>
  </si>
  <si>
    <t>ATVHCSJPYXWXMCF1OV9</t>
  </si>
  <si>
    <t>8205510000</t>
  </si>
  <si>
    <t>MSDU8450658, TXGU8904131</t>
  </si>
  <si>
    <t>Packing list=CZ-054518, Packing list=PL-054562</t>
  </si>
  <si>
    <t>AXLSTCQJDSYKA13UA001V0</t>
  </si>
  <si>
    <t>A-FRAME JACK</t>
  </si>
  <si>
    <t>8425420000</t>
  </si>
  <si>
    <t>MSBU8068680</t>
  </si>
  <si>
    <t>Packing list=CZ-054519</t>
  </si>
  <si>
    <t>AXQQTZ1RWCGHWRPSE001V0</t>
  </si>
  <si>
    <t>A-FRAME SWING SET</t>
  </si>
  <si>
    <t>9506999000</t>
  </si>
  <si>
    <t>MEDU4464722, MSDU6211947</t>
  </si>
  <si>
    <t>Packing list=FR-054884, Packing list=PL-054902</t>
  </si>
  <si>
    <t>AXQQTZ2RWCGL2KT8O001V0</t>
  </si>
  <si>
    <t>AXQQTZSL1RW07PILCV0</t>
  </si>
  <si>
    <t>CAIU7751371, MSCU4594885</t>
  </si>
  <si>
    <t>Packing list=FR-054885, Packing list=PL-054903</t>
  </si>
  <si>
    <t>AZSJGMTZDDFSTV95SV0</t>
  </si>
  <si>
    <t>RAISED TOILET SEAT</t>
  </si>
  <si>
    <t>3922200000</t>
  </si>
  <si>
    <t>MSBU8246837, MSDU5115018</t>
  </si>
  <si>
    <t>Packing list=CZ-056446, Packing list=CZ-056449</t>
  </si>
  <si>
    <t>AZXKZDYTXSJKFJJNV001V0</t>
  </si>
  <si>
    <t>PULL UP BAR</t>
  </si>
  <si>
    <t>B100132SLZKB00001V0</t>
  </si>
  <si>
    <t>AC GAUGE SET</t>
  </si>
  <si>
    <t>8479902090</t>
  </si>
  <si>
    <t>B370W111538MM5NQ6V2</t>
  </si>
  <si>
    <t>WIRE STRIPPING MACHINE</t>
  </si>
  <si>
    <t>8479810000</t>
  </si>
  <si>
    <t>CAAU5661620</t>
  </si>
  <si>
    <t>Packing list=CZ-055655</t>
  </si>
  <si>
    <t>B750W101538MMFDI9V2</t>
  </si>
  <si>
    <t>BB4832YCDLYDVRU6FV0</t>
  </si>
  <si>
    <t>WHITE BOARD</t>
  </si>
  <si>
    <t>7326200090</t>
  </si>
  <si>
    <t>MSBU7968460, UETU7729439</t>
  </si>
  <si>
    <t>list=FR-052065, list=IT-052076</t>
  </si>
  <si>
    <t>BBPPPPE416L12HNJ1V2</t>
  </si>
  <si>
    <t>ELECTRIC SPRAYER</t>
  </si>
  <si>
    <t>8424410000</t>
  </si>
  <si>
    <t>MSNU5563687, MSNU9709759, TCLU7779061</t>
  </si>
  <si>
    <t>list=FR-052053, list=FR-052054, list=FR-052055</t>
  </si>
  <si>
    <t>BBSPPPPE416L4EAKOV2</t>
  </si>
  <si>
    <t>MSNU5563687</t>
  </si>
  <si>
    <t>list=FR-052054</t>
  </si>
  <si>
    <t>BBSRYCYJLFMMOQSJMV0</t>
  </si>
  <si>
    <t>BACKPACK GAS POWERED LEAF BLOWER</t>
  </si>
  <si>
    <t>BBYCXG3624ABS1776V0</t>
  </si>
  <si>
    <t>TEMU6360421, TEMU7049081</t>
  </si>
  <si>
    <t>list=ES-049340, list=FR-049322</t>
  </si>
  <si>
    <t>BCBSBCBSKZD1BAXNX001V0</t>
  </si>
  <si>
    <t>BEDSIDE STAND</t>
  </si>
  <si>
    <t>7326909890</t>
  </si>
  <si>
    <t>MSBU8204493, UETU7801282</t>
  </si>
  <si>
    <t>Packing list=FR-055405, Packing list=IT-056489</t>
  </si>
  <si>
    <t>BCBSBCBSKZD7D6RFJ001V0</t>
  </si>
  <si>
    <t>BCBSBCBSKZD99XB73001V0</t>
  </si>
  <si>
    <t>BCDHJX18220VHU2FPV2</t>
  </si>
  <si>
    <t>SPOT WELDER</t>
  </si>
  <si>
    <t>8516210000</t>
  </si>
  <si>
    <t>CAIU7575647, MSMU5818830</t>
  </si>
  <si>
    <t>Packing list=CZ-055663, Packing list=PL-054556</t>
  </si>
  <si>
    <t>BCDHJX220V42T3U3P002V2</t>
  </si>
  <si>
    <t>SPOT WELDING MACHINE</t>
  </si>
  <si>
    <t>8515210000</t>
  </si>
  <si>
    <t>MSDU8279268, UETU7550736</t>
  </si>
  <si>
    <t>Packing list=CZ-055659, Packing list=PL-055706</t>
  </si>
  <si>
    <t>BCGBXSDTQXJY9ES2J001V2</t>
  </si>
  <si>
    <t>PORTABLE CARPET CLEANERS</t>
  </si>
  <si>
    <t>8438801000</t>
  </si>
  <si>
    <t>BMOU4007469, CLHU8567219, GLDU7246065</t>
  </si>
  <si>
    <t>Packing list=CZ-055906, Packing list=FR-054751, Packing list=PL-055928</t>
  </si>
  <si>
    <t>BCGDSDDQ21GAI83Q1001V0</t>
  </si>
  <si>
    <t>AIR STAPLE GUN</t>
  </si>
  <si>
    <t>8205598000</t>
  </si>
  <si>
    <t>BCGDSDDQ21GAUE24M001V0</t>
  </si>
  <si>
    <t>BCGDSDDQ22GA2YUKO001V0</t>
  </si>
  <si>
    <t>BCGXZGJTJWSDF82RW001V9</t>
  </si>
  <si>
    <t>ROTARY TOOL</t>
  </si>
  <si>
    <t>8467292000</t>
  </si>
  <si>
    <t>FFAU4034300</t>
  </si>
  <si>
    <t>Packing list=FR-054748</t>
  </si>
  <si>
    <t>BCGYCQJTJYCGDQOWS001V0</t>
  </si>
  <si>
    <t>POOL CLEANING KITS (POOL POLE)</t>
  </si>
  <si>
    <t>BCGYCQJTJYCGUEC1M001V0</t>
  </si>
  <si>
    <t>FDCU0243422, MSCU5315774, MSDU8279268</t>
  </si>
  <si>
    <t>Packing list=CZ-055664, Packing list=PL-054559, Packing list=PL-055706</t>
  </si>
  <si>
    <t>BCGYCQJTJYCQOQBUJ001V0</t>
  </si>
  <si>
    <t>BDDCTBBLRBZLP19PW003V0</t>
  </si>
  <si>
    <t>HEADBOARDS WITHOUT POWER</t>
  </si>
  <si>
    <t>9403999090</t>
  </si>
  <si>
    <t>CAAU6920828, MSMU8950984, TCLU4986759, TGBU9853870</t>
  </si>
  <si>
    <t>Packing list=CZ-056443, Packing list=FR-056465, Packing list=IT-056491, Packing list=PL-056500</t>
  </si>
  <si>
    <t>BDDCTBFULLW5EX1OJ002V0</t>
  </si>
  <si>
    <t>CAAU6920828, MSBU7304672, MSMU8950984, TGBU9853870</t>
  </si>
  <si>
    <t>Packing list=CZ-056443, Packing list=FR-056465, Packing list=IT-056491, Packing list=PL-056499</t>
  </si>
  <si>
    <t>BDGJDPDC50PCSX2D8V0</t>
  </si>
  <si>
    <t>OSCILLATING SAW BLADE</t>
  </si>
  <si>
    <t>AXIU1638505, TGHU6287929, TGHU9810798</t>
  </si>
  <si>
    <t>Packing list=CZ-055905, Packing list=FR-054750, Packing list=PL-054775</t>
  </si>
  <si>
    <t>BDGJDPG100PCSS199V0</t>
  </si>
  <si>
    <t>AXIU1638505, GLDU7246065, TCNU7880515</t>
  </si>
  <si>
    <t>Packing list=CZ-055906, Packing list=FR-054752, Packing list=PL-054775</t>
  </si>
  <si>
    <t>BDGJDPTZ33PCSGK9LV0</t>
  </si>
  <si>
    <t>8205510000, 8302419000</t>
  </si>
  <si>
    <t>BDJYZSBJBJ30V7WQXV2</t>
  </si>
  <si>
    <t>COMMERCIAL BLENDER</t>
  </si>
  <si>
    <t>8438809100, 8509400000</t>
  </si>
  <si>
    <t>MEDU8801415, MSDU5039896</t>
  </si>
  <si>
    <t>Packing list=FR-056464, Packing list=IT-055413</t>
  </si>
  <si>
    <t>BGGZTXYAZCGS0HXSV001V0</t>
  </si>
  <si>
    <t>OFFICE WORKBENCH</t>
  </si>
  <si>
    <t>9403309900</t>
  </si>
  <si>
    <t>MSMU8858857</t>
  </si>
  <si>
    <t>Packing list=CZ-056027</t>
  </si>
  <si>
    <t>BGGZTXYAZCGS857VI001V0</t>
  </si>
  <si>
    <t>BGSCTTJD1236144CAV0</t>
  </si>
  <si>
    <t>STAINLESS STEEL WALL SHELF</t>
  </si>
  <si>
    <t>BGSCTTLL86162MWQSV0</t>
  </si>
  <si>
    <t>BGSCTTLL86242HBE0V0</t>
  </si>
  <si>
    <t>CAIU7575647, FDCU0243422, MSBU8068680</t>
  </si>
  <si>
    <t>Packing list=CZ-054519, Packing list=CZ-055663, Packing list=PL-054559</t>
  </si>
  <si>
    <t>BGSCTTLL86302L4L7V0</t>
  </si>
  <si>
    <t>BGSGDQW70H70EMIF1001V0</t>
  </si>
  <si>
    <t>BID SECURITY FRAMEWORK OFFICE COMPARTMENT</t>
  </si>
  <si>
    <t>MEDU7761426</t>
  </si>
  <si>
    <t>Packing list=CZ-055910</t>
  </si>
  <si>
    <t>BGSGSJBXGZDGAR9TKV2</t>
  </si>
  <si>
    <t>HAND DYRER</t>
  </si>
  <si>
    <t>7324900090</t>
  </si>
  <si>
    <t>AXIU1638505, CAIU8091272, TGHU9726809, TGHU9810798</t>
  </si>
  <si>
    <t>Packing list=CZ-055905, Packing list=CZ-055907, Packing list=FR-054749, Packing list=PL-054775</t>
  </si>
  <si>
    <t>BGSJJ9U18YC0ZZCUXV0</t>
  </si>
  <si>
    <t>WALL MOUNT SERVER RACK</t>
  </si>
  <si>
    <t>MEDU4464722</t>
  </si>
  <si>
    <t>Packing list=FR-054884</t>
  </si>
  <si>
    <t>BGSLQJ44CLMSZ7APW001V0</t>
  </si>
  <si>
    <t>WALL MOUNT BASKETBALLHOOP</t>
  </si>
  <si>
    <t>CRSU9232786, FCIU8358053</t>
  </si>
  <si>
    <t>Packing list=CZ-055909, Packing list=PL-055929</t>
  </si>
  <si>
    <t>BGSTYPMBGSSDBNL19001V0</t>
  </si>
  <si>
    <t>SCREEN</t>
  </si>
  <si>
    <t>MSMU6450125, MSMU8950984, TCLU4986759, TCLU5196126</t>
  </si>
  <si>
    <t>Packing list=CZ-056444, Packing list=FR-056465, Packing list=IT-056492, Packing list=PL-056500</t>
  </si>
  <si>
    <t>BGSWLXDYBGWLEHI2WV0</t>
  </si>
  <si>
    <t>PLASTIC STORAGE BIN</t>
  </si>
  <si>
    <t>3923210000</t>
  </si>
  <si>
    <t>CRSU9232786, FCIU8346047, TCNU7880515, TGHU9726809</t>
  </si>
  <si>
    <t>Packing list=CZ-055907, Packing list=CZ-055909, Packing list=FR-054752, Packing list=PL-055927</t>
  </si>
  <si>
    <t>BGSXYQ1JT27C27K3A001V0</t>
  </si>
  <si>
    <t>PORTABLE EYE WASH STATION</t>
  </si>
  <si>
    <t>CSNU8543508</t>
  </si>
  <si>
    <t>list=FR-049318</t>
  </si>
  <si>
    <t>BGSYCXSLTBGS863RLV0</t>
  </si>
  <si>
    <t>PREFLUSH FAUCET</t>
  </si>
  <si>
    <t>MSMU8950984, TCLU4986759, TCLU5196126, TGBU9853870</t>
  </si>
  <si>
    <t>Packing list=CZ-056444, Packing list=FR-056465, Packing list=IT-056491, Packing list=PL-056500</t>
  </si>
  <si>
    <t>BGSYCXSLTBGS9X3ACV0</t>
  </si>
  <si>
    <t>BGSYCXSLTBGSVEFGVV0</t>
  </si>
  <si>
    <t>BGSZZYGLTLTH9A651002V0</t>
  </si>
  <si>
    <t>CLAWFOOT TUB FAUCET</t>
  </si>
  <si>
    <t>6910100000</t>
  </si>
  <si>
    <t>MSDU8450658</t>
  </si>
  <si>
    <t>Packing list=CZ-054518</t>
  </si>
  <si>
    <t>BGWGQ7080INC1MICW001V0</t>
  </si>
  <si>
    <t>GRIDWALLS</t>
  </si>
  <si>
    <t>7314420000</t>
  </si>
  <si>
    <t>BGXDXGKB228INL81BV0</t>
  </si>
  <si>
    <t>PARCEL MAILBOX</t>
  </si>
  <si>
    <t>7326909800</t>
  </si>
  <si>
    <t>MSBU5511156, MSDU8587147</t>
  </si>
  <si>
    <t>Packing list=CZ-054516, Packing list=PL-054560</t>
  </si>
  <si>
    <t>BGXDXGLDS42INCXH0V0</t>
  </si>
  <si>
    <t>MSBU5511156</t>
  </si>
  <si>
    <t>Packing list=PL-054560</t>
  </si>
  <si>
    <t>BGXDXGLDS44INQOU9V0</t>
  </si>
  <si>
    <t>BGXHSDXGFTS4W8MXTV0</t>
  </si>
  <si>
    <t>9403208000</t>
  </si>
  <si>
    <t>MSBU5511156, MSDU7691060</t>
  </si>
  <si>
    <t>Packing list=CZ-055657, Packing list=PL-054560</t>
  </si>
  <si>
    <t>BGXHSDXGZZS48ARHRV0</t>
  </si>
  <si>
    <t>BHJBHSH160A03GXNSV2</t>
  </si>
  <si>
    <t>STICK WELDER</t>
  </si>
  <si>
    <t>8515310000</t>
  </si>
  <si>
    <t>BHJBHSH200A0LS41BV2</t>
  </si>
  <si>
    <t>BJJ2KLJ1010FDZ6BMV0</t>
  </si>
  <si>
    <t>CAIU8091272, CLHU8567219, TGHU9810798</t>
  </si>
  <si>
    <t>Packing list=CZ-055905, Packing list=FR-054749, Packing list=PL-055928</t>
  </si>
  <si>
    <t>BJJ2KLJ6510FVP8ADV0</t>
  </si>
  <si>
    <t>AXIU1638505, CAIU8091272, TGHU9810798</t>
  </si>
  <si>
    <t>Packing list=CZ-055905, Packing list=FR-054749, Packing list=PL-054775</t>
  </si>
  <si>
    <t>BJLJTSYBJBSYKF618V2</t>
  </si>
  <si>
    <t>ICE CREAM MACHINE</t>
  </si>
  <si>
    <t>8418690099</t>
  </si>
  <si>
    <t>CAAU6920828, MEDU8801415, MSBU6615068</t>
  </si>
  <si>
    <t>Packing list=CZ-056443, Packing list=FR-056464, Packing list=PL-055437</t>
  </si>
  <si>
    <t>BJXFJ5500QXLSXFJ1V2</t>
  </si>
  <si>
    <t>STUD WELDER DENT REPAIR KIT</t>
  </si>
  <si>
    <t>8515199000, 8515210000, 8516210000</t>
  </si>
  <si>
    <t>BEAU4243644, CAAU6199835, FSCU8031100, SELU4270474</t>
  </si>
  <si>
    <t>list=CZ-050499, list=ES-049339, list=FR-052081, list=IT-049338</t>
  </si>
  <si>
    <t>BJXFJDZDLJ0000001V0</t>
  </si>
  <si>
    <t>8515199000</t>
  </si>
  <si>
    <t>, CBHU9175188, CMAU4567738</t>
  </si>
  <si>
    <t>list=CZ-050495, list=ES-049341, list=IT-049337</t>
  </si>
  <si>
    <t>BJXFJG90E3KW00001V2</t>
  </si>
  <si>
    <t>DENT REPAIR TOOL, STUD WELDER DENT REPAIR KIT</t>
  </si>
  <si>
    <t>8515199000, 8515210000</t>
  </si>
  <si>
    <t>BEAU4243644, CSNU8950231, FFAU2254455, SELU4270474, UETU7729439</t>
  </si>
  <si>
    <t>list=ES-049339, list=FR-049320, list=FR-052065, list=FR-052081, list=IT-052075</t>
  </si>
  <si>
    <t>BKFSMSPBXGSLHVLT6V0</t>
  </si>
  <si>
    <t>TRADITIONAL CAT LITTER BOX</t>
  </si>
  <si>
    <t>FFAU3066180, MSMU8074217, MSMU8753250</t>
  </si>
  <si>
    <t>Packing list=CZ-056447, Packing list=IT-056493, Packing list=PL-056503</t>
  </si>
  <si>
    <t>BKZDYDZY6SEADS118001V0</t>
  </si>
  <si>
    <t>PLAYING FIELD BENCH</t>
  </si>
  <si>
    <t>MEDU7527470</t>
  </si>
  <si>
    <t>Packing list=PL-054554</t>
  </si>
  <si>
    <t>BKZDYDZY6SEAPD3L8001V0</t>
  </si>
  <si>
    <t>DFSU6555268, MSDU7691060, MSMU5818830, TXGU6715988</t>
  </si>
  <si>
    <t>Packing list=CZ-055657, Packing list=CZ-055660, Packing list=PL-054556, Packing list=PL-055705</t>
  </si>
  <si>
    <t>BKZDYDZY8SEAAKHNL001V0</t>
  </si>
  <si>
    <t>BKZDYDZYHS6SWXJNP001V0</t>
  </si>
  <si>
    <t>MEDU7527470, MSBU5511156, MSDU7691060, MSDU8279268, MSDU8587147</t>
  </si>
  <si>
    <t>Packing list=CZ-054516, Packing list=CZ-055657, Packing list=PL-054554, Packing list=PL-054560, Packing list=PL-055706</t>
  </si>
  <si>
    <t>BLFWFGQ4MB348QKQ9V0</t>
  </si>
  <si>
    <t>FABRIC ROOM DIVIDE</t>
  </si>
  <si>
    <t>BMOU4422599, CAIU8091272, DRYU9392353</t>
  </si>
  <si>
    <t>Packing list=CZ-055904, Packing list=FR-054749, Packing list=PL-054774</t>
  </si>
  <si>
    <t xml:space="preserve">9403.89.0090 </t>
  </si>
  <si>
    <t>BLFWFGQ4MB34BMP7JV0</t>
  </si>
  <si>
    <t>BLFWFGQ6MB22N6CD6V0</t>
  </si>
  <si>
    <t>BLFWFGQ6MB22OTQ1RV0</t>
  </si>
  <si>
    <t>BMOU4089214, BMOU4422599, MEDU7093501</t>
  </si>
  <si>
    <t>Packing list=CZ-055904, Packing list=FR-054747, Packing list=PL-054773</t>
  </si>
  <si>
    <t>BLFWFGQ6MB22SD7SBV0</t>
  </si>
  <si>
    <t>BLFWFGQDMB71E7SLUV0</t>
  </si>
  <si>
    <t>BLFWFGQDMB71UFFM0V0</t>
  </si>
  <si>
    <t>DRYU9392353, TGHU6287929, TGHU9810798</t>
  </si>
  <si>
    <t>Packing list=CZ-055905, Packing list=FR-054750, Packing list=PL-054774</t>
  </si>
  <si>
    <t>BLFWFGQSMB34DAB0VV0</t>
  </si>
  <si>
    <t>CAIU8091272, DRYU9392353, TGHU9810798</t>
  </si>
  <si>
    <t>Packing list=CZ-055905, Packing list=FR-054749, Packing list=PL-054774</t>
  </si>
  <si>
    <t>BLFWFGQSMB34LTQ1KV0</t>
  </si>
  <si>
    <t>BLPF88675INC7B9MGV0</t>
  </si>
  <si>
    <t>BLPF96120INCYUPD6V0</t>
  </si>
  <si>
    <t>TGHU6287929, TGHU9810798</t>
  </si>
  <si>
    <t>Packing list=CZ-055905, Packing list=FR-054750</t>
  </si>
  <si>
    <t>BPKLGZT61G328HWPY001V0</t>
  </si>
  <si>
    <t>DECK BALUSTERS</t>
  </si>
  <si>
    <t>BPQDQ75KW220GF4DKV7</t>
  </si>
  <si>
    <t>INVERTER</t>
  </si>
  <si>
    <t>CAIU8407170, FSCU6992068, TCLU5729903</t>
  </si>
  <si>
    <t>Packing list=CZ-056028, Packing list=FR-054888, Packing list=PL-054906</t>
  </si>
  <si>
    <t>BPSLZFSHS23BVBIXQ001V0</t>
  </si>
  <si>
    <t>AXIU1638505, BMOU4007469, GLDU7246065</t>
  </si>
  <si>
    <t>Packing list=CZ-055906, Packing list=FR-054751, Packing list=PL-054775</t>
  </si>
  <si>
    <t>BPXGMDZLSLZF6CMUIV0</t>
  </si>
  <si>
    <t>CARU5285706, CLHU8567219</t>
  </si>
  <si>
    <t>Packing list=CZ-055908, Packing list=PL-055928</t>
  </si>
  <si>
    <t>BPXGMDZLSLZF995EIV0</t>
  </si>
  <si>
    <t>CLHU8567219</t>
  </si>
  <si>
    <t>Packing list=PL-055928</t>
  </si>
  <si>
    <t>BPXGMDZLSLZFDP9MRV0</t>
  </si>
  <si>
    <t>BPXGMDZLSLZFZ28P2V0</t>
  </si>
  <si>
    <t>BQHDWDYXWEHY2V8G3V0</t>
  </si>
  <si>
    <t>BASEBALL REBOUND NET</t>
  </si>
  <si>
    <t>MSMU7678871</t>
  </si>
  <si>
    <t>Packing list=CZ-056445</t>
  </si>
  <si>
    <t>BQHDWHXWJDKDFWHYHV0</t>
  </si>
  <si>
    <t>MSMU8950984</t>
  </si>
  <si>
    <t>Packing list=FR-056465</t>
  </si>
  <si>
    <t>BQHDWPWJDKD4HE1Z4V0</t>
  </si>
  <si>
    <t>TCLU4986759</t>
  </si>
  <si>
    <t>Packing list=PL-056500</t>
  </si>
  <si>
    <t>BQJXZQFB2MCS84AH9001V2</t>
  </si>
  <si>
    <t>JUMBO SOCCER DARTS</t>
  </si>
  <si>
    <t>BQJXZQFB2MCSC34BU001V2</t>
  </si>
  <si>
    <t>BRXTYNB1100W7HN93001Y3</t>
  </si>
  <si>
    <t>SOLAR PANEL</t>
  </si>
  <si>
    <t>8541420000</t>
  </si>
  <si>
    <t>MEDU7133728, MSMU7678871, TCLU4986759, TGBU9853870</t>
  </si>
  <si>
    <t>Packing list=CZ-056445, Packing list=FR-056467, Packing list=IT-056491, Packing list=PL-056500</t>
  </si>
  <si>
    <t>BSHYGMBS9451K3NZR001V0</t>
  </si>
  <si>
    <t>GARDEN ARCHES</t>
  </si>
  <si>
    <t>CAAU5661620, MSMU5818830</t>
  </si>
  <si>
    <t>Packing list=CZ-055655, Packing list=PL-054556</t>
  </si>
  <si>
    <t>BSHYGMBS94559254C001V0</t>
  </si>
  <si>
    <t>BSHYGMBS9459AQ3OZ001V0</t>
  </si>
  <si>
    <t>BSKSQFTSKDGX4RGJNV0</t>
  </si>
  <si>
    <t>MINI SPLIT LINE SET COVER</t>
  </si>
  <si>
    <t>3904220090</t>
  </si>
  <si>
    <t>CAAU6920828, MEDU8801415, MSBU7304672, TGBU9853870</t>
  </si>
  <si>
    <t>Packing list=CZ-056443, Packing list=FR-056464, Packing list=IT-056491, Packing list=PL-056499</t>
  </si>
  <si>
    <t>BSKSQFTSKDGXVBQRUV0</t>
  </si>
  <si>
    <t>CAAU6920828, MEDU8801415, MSBU7304672</t>
  </si>
  <si>
    <t>Packing list=CZ-056443, Packing list=FR-056464, Packing list=PL-056499</t>
  </si>
  <si>
    <t>BSLSTCQJDSYKCWY2VV0</t>
  </si>
  <si>
    <t>BOLT-ON JACK</t>
  </si>
  <si>
    <t>MEDU7527470, MSCU5315774</t>
  </si>
  <si>
    <t>Packing list=CZ-055664, Packing list=PL-054554</t>
  </si>
  <si>
    <t>BSLSTCQJDSYKG5K4FV0</t>
  </si>
  <si>
    <t>TXGU6715988</t>
  </si>
  <si>
    <t>Packing list=CZ-055660</t>
  </si>
  <si>
    <t>BSLSTCQJDSYKZRU01V0</t>
  </si>
  <si>
    <t>8425490000</t>
  </si>
  <si>
    <t>MSBU8068680, TRHU8526897</t>
  </si>
  <si>
    <t>Packing list=CZ-054519, Packing list=PL-054563</t>
  </si>
  <si>
    <t>BTCFJLS160LBS14F0V0</t>
  </si>
  <si>
    <t>SPARE TIRE CARRIER</t>
  </si>
  <si>
    <t>BTQBPVC16SQF1YY74V0</t>
  </si>
  <si>
    <t>SLATWALL PANELS</t>
  </si>
  <si>
    <t>BTQBPVC32SQFKNE5MV0</t>
  </si>
  <si>
    <t>MSMU7575575</t>
  </si>
  <si>
    <t>Packing list=PL-054771</t>
  </si>
  <si>
    <t>BTQBPVC32SQFKWPZFV0</t>
  </si>
  <si>
    <t>MSNU8925183</t>
  </si>
  <si>
    <t>Packing list=PL-054770</t>
  </si>
  <si>
    <t>BWRJLGDX12KG2RBC5V0</t>
  </si>
  <si>
    <t>PROPANE MELTING FURNACE</t>
  </si>
  <si>
    <t>8514198000</t>
  </si>
  <si>
    <t>BWRJLGDXB6KG1B7QAV0</t>
  </si>
  <si>
    <t>MSDU7341776, MSNU8909623</t>
  </si>
  <si>
    <t>Packing list=CZ-056448, Packing list=PL-056511</t>
  </si>
  <si>
    <t>BWRJLSHQSYDGC9HYAV0</t>
  </si>
  <si>
    <t>BXG4CHJ0000000001V0</t>
  </si>
  <si>
    <t>STAINLSS STEEL SHELF UNITS</t>
  </si>
  <si>
    <t>BEAU4243644, CAIU4763614, FFAU2254455, TCNU2185423</t>
  </si>
  <si>
    <t>list=CZ-050503, list=FR-052062, list=FR-052081, list=IT-052075</t>
  </si>
  <si>
    <t>BXGBHTHS101JHX76KV0</t>
  </si>
  <si>
    <t>PROTECTOR SLEEVES</t>
  </si>
  <si>
    <t>7601208000</t>
  </si>
  <si>
    <t>CMAU3392208</t>
  </si>
  <si>
    <t>list=CZ-050500</t>
  </si>
  <si>
    <t>BXGCWYG34CZJFJ0C0002V0</t>
  </si>
  <si>
    <t>DOG GROOMING TUB</t>
  </si>
  <si>
    <t>BXGCWYG34CZJQTV6N002V0</t>
  </si>
  <si>
    <t>BXGCWYG38CZJ4VWJJV0</t>
  </si>
  <si>
    <t>MSCU5085389</t>
  </si>
  <si>
    <t>Packing list=IT-056490</t>
  </si>
  <si>
    <t>BXGCWYG38CZJBI6YSV0</t>
  </si>
  <si>
    <t>BXGCWYG50CSL5T18XV0</t>
  </si>
  <si>
    <t>BXGCWYG50CSLO0P1YV0</t>
  </si>
  <si>
    <t>BXGCWYG62CSL5T713V0</t>
  </si>
  <si>
    <t>BXGCWYG62CSL9SXZIV0</t>
  </si>
  <si>
    <t>BXGCWYG62CSLS01HRV0</t>
  </si>
  <si>
    <t>BXGCWYG62CSLV4J32V0</t>
  </si>
  <si>
    <t>BXGDLZFS100CGRQ1IV0</t>
  </si>
  <si>
    <t>BXGDLZFS120CR5F2IV0</t>
  </si>
  <si>
    <t>BXGDLZFS80CM27A3MV0</t>
  </si>
  <si>
    <t>BXGDQX16X12XBMZY8V0</t>
  </si>
  <si>
    <t>ELECTRICAL ENCLOSURE</t>
  </si>
  <si>
    <t>TCLU8016320, UETU8218304</t>
  </si>
  <si>
    <t>Packing list=CZ-056026, Packing list=PL-054905</t>
  </si>
  <si>
    <t>BXGDQX16X12XVGLJZV0</t>
  </si>
  <si>
    <t>MSNU9783205, TCLU8016320</t>
  </si>
  <si>
    <t>Packing list=CZ-056026, Packing list=PL-054904</t>
  </si>
  <si>
    <t>BXGDQX20X16X4VPKIV0</t>
  </si>
  <si>
    <t>MSNU8441810, TCLU8016320, UETU8218304</t>
  </si>
  <si>
    <t>Packing list=CZ-056026, Packing list=FR-054886, Packing list=PL-054905</t>
  </si>
  <si>
    <t>BXGDQX24X20XC3Z3EV0</t>
  </si>
  <si>
    <t>CAIU7751371, TCLU8016320, UETU8218304</t>
  </si>
  <si>
    <t>Packing list=CZ-056026, Packing list=PL-054903, Packing list=PL-054905</t>
  </si>
  <si>
    <t>BXGFXPDYDGYSTSRS6V0</t>
  </si>
  <si>
    <t>CHIMNEY CAP</t>
  </si>
  <si>
    <t>7326909290</t>
  </si>
  <si>
    <t>BXGHJ1BXG10PYKQQ0001V0</t>
  </si>
  <si>
    <t>WALL CORNER PROTECTOR</t>
  </si>
  <si>
    <t>BXGHJ5C48X18.5YC1V0</t>
  </si>
  <si>
    <t>BEAU4243644, CAIU4763614, CMAU3392208, FFAU2254455, TCNU2185423, TIIU4570916</t>
  </si>
  <si>
    <t>list=CZ-050500, list=CZ-050503, list=FR-050518, list=FR-052062, list=FR-052081, list=IT-052075</t>
  </si>
  <si>
    <t>BXGHJYCCBD725ZZFTV0</t>
  </si>
  <si>
    <t>CAIU4763614, FFAU2254455, TCNU2185423</t>
  </si>
  <si>
    <t>list=CZ-050503, list=FR-052062, list=IT-052075</t>
  </si>
  <si>
    <t>BXGHSTJ100YCCSUS1V0</t>
  </si>
  <si>
    <t>ZIP LINE KIT</t>
  </si>
  <si>
    <t>BXGHSTJ120YCSIINXV0</t>
  </si>
  <si>
    <t>BXGHSTJ60YCBT03HLV0</t>
  </si>
  <si>
    <t>BXGHSTJ80YCBRY0IBV0</t>
  </si>
  <si>
    <t>BXGJG25QTDZL4LW30001V0</t>
  </si>
  <si>
    <t>SAUCE PANS</t>
  </si>
  <si>
    <t>BXGLTFS3BDLZ00001V0</t>
  </si>
  <si>
    <t>STAINLESS STEEL STAIR HANDRAIL</t>
  </si>
  <si>
    <t>BXGLTFS5BDLZ00001V0</t>
  </si>
  <si>
    <t>BXGSDJRJYS305W7U7V0</t>
  </si>
  <si>
    <t>MANUAL MEAT GRINDER</t>
  </si>
  <si>
    <t>8210000000</t>
  </si>
  <si>
    <t>BXGSDJRJYS30TU4B1V0</t>
  </si>
  <si>
    <t>BXGSLZFS100CSMB9RV0</t>
  </si>
  <si>
    <t>STAINLESS STEEL HANDRAIL</t>
  </si>
  <si>
    <t>BXGSLZFS100CZ97QUV0</t>
  </si>
  <si>
    <t>BXGSLZFS150C5SAPEV0</t>
  </si>
  <si>
    <t>BXGSLZFS150CBU3NGV0</t>
  </si>
  <si>
    <t>AXIU1638505</t>
  </si>
  <si>
    <t>Packing list=PL-054775</t>
  </si>
  <si>
    <t>BXGSLZFS150CEE3Y3V0</t>
  </si>
  <si>
    <t>BXGSLZFS150CQRI7OV0</t>
  </si>
  <si>
    <t>BXGSLZFS180C0LCPKV0</t>
  </si>
  <si>
    <t>BXGSLZFS180CXMYZKV0</t>
  </si>
  <si>
    <t>BXGSLZFS80CMSOHDTV0</t>
  </si>
  <si>
    <t>BXGYBHS6030C6ERCO001V0</t>
  </si>
  <si>
    <t>FIBERGLASS SOUNDPROOF PANELS</t>
  </si>
  <si>
    <t>7016901000, 7019900085</t>
  </si>
  <si>
    <t>MSBU7968460, MSMU8224934, TEMU6360421</t>
  </si>
  <si>
    <t>list=ES-049340, list=FR-052059, list=IT-052076</t>
  </si>
  <si>
    <t>BXGYBHS6030CODWP4001V0</t>
  </si>
  <si>
    <t>7016901000</t>
  </si>
  <si>
    <t>BXGYBMS6030CD0564001V0</t>
  </si>
  <si>
    <t>BXGYBTS6030CYTD57001V0</t>
  </si>
  <si>
    <t>BXGYCFSDDB32ODJT3V0</t>
  </si>
  <si>
    <t>POOL HANDRAILS</t>
  </si>
  <si>
    <t>BXGYCFSDDB55R33SQV0</t>
  </si>
  <si>
    <t>BXGYDGZ302435N0U7V0</t>
  </si>
  <si>
    <t>STAINLESS WORKING TABLE</t>
  </si>
  <si>
    <t>MSMU7812851, SELU4270474, TCNU2185423, TIIU4570916</t>
  </si>
  <si>
    <t>list=CZ-050503, list=ES-049339, list=FR-050518, list=FR-052066</t>
  </si>
  <si>
    <t>BXGYDGZ362435W02CV0</t>
  </si>
  <si>
    <t>BXGYLFPQBXGS1OOVN001V0</t>
  </si>
  <si>
    <t>BEVERAGE DISPENSER</t>
  </si>
  <si>
    <t>3923900000</t>
  </si>
  <si>
    <t>BXGZLSJXB4LDCQHM3V2</t>
  </si>
  <si>
    <t>CAIU8091272, FCIU8346047, TGHU9810798</t>
  </si>
  <si>
    <t>Packing list=CZ-055905, Packing list=FR-054749, Packing list=PL-055927</t>
  </si>
  <si>
    <t>BXGZLSJYS4LD2TK5LV2</t>
  </si>
  <si>
    <t>BXJL60W1525MM4XMQV2</t>
  </si>
  <si>
    <t>MSDU8450658, TRHU8526897, TXGU8904131</t>
  </si>
  <si>
    <t>Packing list=CZ-054518, Packing list=PL-054562, Packing list=PL-054563</t>
  </si>
  <si>
    <t>BXJYSS11525MMZ4Z6V0</t>
  </si>
  <si>
    <t>BXPSLWNZWDJPDXYOW001V9</t>
  </si>
  <si>
    <t>GAS PIZZA OVEN(ROTATE)</t>
  </si>
  <si>
    <t>7321900000</t>
  </si>
  <si>
    <t>BXSDDHL1100BE27PCV2</t>
  </si>
  <si>
    <t>PORTABLE POWER ELECTRIC HOIST</t>
  </si>
  <si>
    <t>8425110000</t>
  </si>
  <si>
    <t>BEAU4243644, CMAU9767404, CSNU6554247</t>
  </si>
  <si>
    <t>list=CZ-050502, list=FR-050517, list=FR-052081</t>
  </si>
  <si>
    <t>BXSG550W512INKRV0V2</t>
  </si>
  <si>
    <t>AXIAL PORTABLE VENTILATION FAN</t>
  </si>
  <si>
    <t>8414510090</t>
  </si>
  <si>
    <t>BXSGHQ18112ICTI8XV0</t>
  </si>
  <si>
    <t>PIPE VISE</t>
  </si>
  <si>
    <t>BXSGZTPPSL4F8JA6T001V0</t>
  </si>
  <si>
    <t>PORTABLE WORK STAND</t>
  </si>
  <si>
    <t>7616999009</t>
  </si>
  <si>
    <t>BXSGZTPPSL8F1N2RC001V0</t>
  </si>
  <si>
    <t>MSNU5329452</t>
  </si>
  <si>
    <t>list=FR-052068</t>
  </si>
  <si>
    <t>BXSGZTPPSL8FZHE0J001V0</t>
  </si>
  <si>
    <t>BXSHTZPDBJC84S34S001V0</t>
  </si>
  <si>
    <t>BEACH TENT</t>
  </si>
  <si>
    <t>6306220000</t>
  </si>
  <si>
    <t>BXSJNJ3LCD30X9CEE001V2</t>
  </si>
  <si>
    <t>MILKING MACHINE</t>
  </si>
  <si>
    <t>TRHU6827398</t>
  </si>
  <si>
    <t>Packing list=FR-055411</t>
  </si>
  <si>
    <t>BXSPQZPBSZDDAATTA001V0</t>
  </si>
  <si>
    <t>PORTABLE PAINT TENT</t>
  </si>
  <si>
    <t>BXSTHC4G290I155AS001V0</t>
  </si>
  <si>
    <t>PORTABLE HAND TRUCK</t>
  </si>
  <si>
    <t>7326904000</t>
  </si>
  <si>
    <t>MSDU5115018, MSMU8074217, MSMU8950984, TCLU4986759</t>
  </si>
  <si>
    <t>Packing list=CZ-056446, Packing list=FR-056465, Packing list=IT-056493, Packing list=PL-056500</t>
  </si>
  <si>
    <t>BXSTHC6G500IDL5ZE001V0</t>
  </si>
  <si>
    <t>BXSTHCHS2G11BKSTN001V0</t>
  </si>
  <si>
    <t>BXSTHJYCDBB99V1R3V2</t>
  </si>
  <si>
    <t>HEAT PRESS MACHINE</t>
  </si>
  <si>
    <t>8516797090</t>
  </si>
  <si>
    <t>BXSTHQ3YCZYSRC37I001V0</t>
  </si>
  <si>
    <t>BENCH VISE</t>
  </si>
  <si>
    <t>MSBU7968460, TGHU9193042, UETU5958499</t>
  </si>
  <si>
    <t>list=FR-049319, list=FR-052064, list=IT-052076</t>
  </si>
  <si>
    <t>BXSTHQ45YCZYALM7W001V0</t>
  </si>
  <si>
    <t>MSBU7968460, SELU4270474, UETU7729439</t>
  </si>
  <si>
    <t>list=ES-049339, list=FR-052065, list=IT-052076</t>
  </si>
  <si>
    <t>BXSXYQ20241JDB9IH001V0</t>
  </si>
  <si>
    <t>EMERGENCY EYE WASH, PORTABLE EYE WASH STATION</t>
  </si>
  <si>
    <t>CSNU8543508, TEMU6360421</t>
  </si>
  <si>
    <t>list=ES-049340, list=FR-049318</t>
  </si>
  <si>
    <t>BXSXYQ20241JMI5DG001V0</t>
  </si>
  <si>
    <t>BXSZDJSJZJ458V32EV0</t>
  </si>
  <si>
    <t>PORTABLE SCAFFOLDING</t>
  </si>
  <si>
    <t>BXXTDSHS000000001V0</t>
  </si>
  <si>
    <t>SHUNSHUN GMBH</t>
  </si>
  <si>
    <t>BXZDTYNB1100CFI83001Y3</t>
  </si>
  <si>
    <t>FFAU3066180, TCLU4986759, TGBU9853870</t>
  </si>
  <si>
    <t>Packing list=CZ-056447, Packing list=IT-056491, Packing list=PL-056500</t>
  </si>
  <si>
    <t>BXZDTYNB1150E7M1N001Y3</t>
  </si>
  <si>
    <t>MSMU7678871, MSMU8950984, TCLU4986759, TGBU9853870</t>
  </si>
  <si>
    <t>Packing list=CZ-056445, Packing list=FR-056465, Packing list=IT-056491, Packing list=PL-056500</t>
  </si>
  <si>
    <t>BXZDTYNB130WQ3D4Y001Y3</t>
  </si>
  <si>
    <t>FFAU1763669, MSBU7581677, MSMU7678871, MSMU8074217</t>
  </si>
  <si>
    <t>Packing list=CZ-056445, Packing list=FR-056466, Packing list=IT-056493, Packing list=PL-056502</t>
  </si>
  <si>
    <t>BYBLXWKWBX12911BP001V0</t>
  </si>
  <si>
    <t>BASEBALL BATTING CAGE</t>
  </si>
  <si>
    <t>CAAU6920828, MSBU7304672, MSMU8950984</t>
  </si>
  <si>
    <t>Packing list=CZ-056443, Packing list=FR-056465, Packing list=PL-056499</t>
  </si>
  <si>
    <t>BYBLXWKWBX404ORVC001V0</t>
  </si>
  <si>
    <t>CAAU6920828, TGBU9853870</t>
  </si>
  <si>
    <t>Packing list=CZ-056443, Packing list=IT-056491</t>
  </si>
  <si>
    <t>BYCSPQSDJEC10VE89V2</t>
  </si>
  <si>
    <t>SHUTTER EXHAUST FAN</t>
  </si>
  <si>
    <t>MSMU6450125, MSNU8909623</t>
  </si>
  <si>
    <t>Packing list=IT-056492, Packing list=PL-056511</t>
  </si>
  <si>
    <t>BYCSPQSDJEC12J2DNV2</t>
  </si>
  <si>
    <t>BYCSPQSDJEC14Y5NAV2</t>
  </si>
  <si>
    <t>MSMU6450125</t>
  </si>
  <si>
    <t>Packing list=IT-056492</t>
  </si>
  <si>
    <t>BYCSPQSDJEC16PFKWV2</t>
  </si>
  <si>
    <t>BYDGMJDJT66FVMQ73001V0</t>
  </si>
  <si>
    <t>WEDDING ARCH BACKDROPSTAND</t>
  </si>
  <si>
    <t>CSNU8950231, SELU4270474</t>
  </si>
  <si>
    <t>list=ES-049339, list=FR-049320</t>
  </si>
  <si>
    <t>BYDGMJDJT72FCTPRA001V0</t>
  </si>
  <si>
    <t>BYDGMJDJTDBZ4I7F2001V0</t>
  </si>
  <si>
    <t>BYDGMJLJTDBZ1SEAH001V0</t>
  </si>
  <si>
    <t>BYDGMJSJT72FV0MUO001V0</t>
  </si>
  <si>
    <t>BYWSZYKZDK405QXFB001V0</t>
  </si>
  <si>
    <t>FABRIC BEDROOM BENCHES</t>
  </si>
  <si>
    <t>6304110000</t>
  </si>
  <si>
    <t>MSDU8587147</t>
  </si>
  <si>
    <t>Packing list=CZ-054516</t>
  </si>
  <si>
    <t>BYWSZYKZDK40BI0GO001V0</t>
  </si>
  <si>
    <t>BYWSZYKZDK40FW7EP001V0</t>
  </si>
  <si>
    <t>BZDMNJSCCSFWSEYI0V2</t>
  </si>
  <si>
    <t>LATHE</t>
  </si>
  <si>
    <t>8458990000</t>
  </si>
  <si>
    <t>BZJJSDZJCZCGJFCLWV0</t>
  </si>
  <si>
    <t>PEDESTAL SIGN STAND</t>
  </si>
  <si>
    <t>MSNU9531841</t>
  </si>
  <si>
    <t>Packing list=PL-054557</t>
  </si>
  <si>
    <t>BZZXCL2L00001YWZY001V0</t>
  </si>
  <si>
    <t>STANDARD ASSISTED DRIVING</t>
  </si>
  <si>
    <t>6602000090</t>
  </si>
  <si>
    <t>FFAU3066180, MSMU6450125, MSMU8753250</t>
  </si>
  <si>
    <t>Packing list=CZ-056447, Packing list=IT-056492, Packing list=PL-056503</t>
  </si>
  <si>
    <t>C13109FT3750WIIEBV2</t>
  </si>
  <si>
    <t>SPRAY PAINT BOOTH</t>
  </si>
  <si>
    <t>4202921100, 6306220000</t>
  </si>
  <si>
    <t>CAAU6920828, MEDU8801415, MSCU5085389, TCNU1401533</t>
  </si>
  <si>
    <t>Packing list=CZ-056443, Packing list=FR-056464, Packing list=IT-056490, Packing list=PL-055436</t>
  </si>
  <si>
    <t>CATDBCAT40ERJEC38V0</t>
  </si>
  <si>
    <t>COLLET</t>
  </si>
  <si>
    <t>8205200000</t>
  </si>
  <si>
    <t>CCQZDB2DS55004FAD001C1V0</t>
  </si>
  <si>
    <t>FORKLIFT JIB CRANE</t>
  </si>
  <si>
    <t>8431200080</t>
  </si>
  <si>
    <t>CCQZDB2DS55004FAD001C2V0</t>
  </si>
  <si>
    <t>CCZRAQLSSB486GVOZ001V0</t>
  </si>
  <si>
    <t>FORKLIFT SAFETY CAGE</t>
  </si>
  <si>
    <t>TGBU8682068</t>
  </si>
  <si>
    <t>list=IT-049336</t>
  </si>
  <si>
    <t>CCZYBGKAQD009OS2EV0</t>
  </si>
  <si>
    <t>FORKLIFT SEATS</t>
  </si>
  <si>
    <t>3926100000</t>
  </si>
  <si>
    <t>CAIU8407170, MSMU8858857, UETU8215795</t>
  </si>
  <si>
    <t>Packing list=CZ-056027, Packing list=FR-054887, Packing list=PL-054906</t>
  </si>
  <si>
    <t>CCZYCGKAQD00099Y0V0</t>
  </si>
  <si>
    <t>CCZYCGKDY0007EM3EV0</t>
  </si>
  <si>
    <t>CCZYCGKFSAQDUWMNSV0</t>
  </si>
  <si>
    <t>CCZYXGTJDHKDV3BRHV0</t>
  </si>
  <si>
    <t>SEAT SUSPENSION KIT FOR FORKLIFT</t>
  </si>
  <si>
    <t>7326200040</t>
  </si>
  <si>
    <t>CCZYXJKXJK00FZ75NV0</t>
  </si>
  <si>
    <t>MSMU7674578, UETU8215795, UETU8218304</t>
  </si>
  <si>
    <t>Packing list=CZ-056029, Packing list=FR-054887, Packing list=PL-054905</t>
  </si>
  <si>
    <t>CCZYYTKDY000G2GUFV0</t>
  </si>
  <si>
    <t>CAIU8407170, MSMU7674578, UETU8215795</t>
  </si>
  <si>
    <t>Packing list=CZ-056029, Packing list=FR-054887, Packing list=PL-054906</t>
  </si>
  <si>
    <t>CDBG48INCHCS9HWCU001V0</t>
  </si>
  <si>
    <t>MARKERS DRIVEWAY POLES</t>
  </si>
  <si>
    <t>3926909790</t>
  </si>
  <si>
    <t>CDBG48INCHCSCB6ZM001V0</t>
  </si>
  <si>
    <t>CDBG48INCHCSWTNL7001V0</t>
  </si>
  <si>
    <t>CDBG72INCHCSWE3T6001V0</t>
  </si>
  <si>
    <t>CDHBJX23CUFTPIS1VV0</t>
  </si>
  <si>
    <t>ROOF CARGO BAG</t>
  </si>
  <si>
    <t>5503200000</t>
  </si>
  <si>
    <t>TCNU7119933</t>
  </si>
  <si>
    <t>Packing list=CZ-056030</t>
  </si>
  <si>
    <t>CDHGJTYKTYKCPRACFV0</t>
  </si>
  <si>
    <t>ROOF RACK</t>
  </si>
  <si>
    <t>MEDU7133728, MSDU5115018, MSMU8753250, TGBU9853870</t>
  </si>
  <si>
    <t>Packing list=CZ-056446, Packing list=FR-056467, Packing list=IT-056491, Packing list=PL-056503</t>
  </si>
  <si>
    <t>CDHGJTYKTYKLLODD1V0</t>
  </si>
  <si>
    <t>MSMU8074217, MSMU8753250</t>
  </si>
  <si>
    <t>Packing list=IT-056493, Packing list=PL-056503</t>
  </si>
  <si>
    <t>CDHGJZSKFTRF7ZI8NV0</t>
  </si>
  <si>
    <t>MSBU7581677, MSMU7678871, TGBU9853870</t>
  </si>
  <si>
    <t>Packing list=CZ-056445, Packing list=IT-056491, Packing list=PL-056502</t>
  </si>
  <si>
    <t>CDHGJZSKJPDQHW9Q7V0</t>
  </si>
  <si>
    <t>MEDU7133728, MSBU7581677, MSDU5115018, TGBU9853870</t>
  </si>
  <si>
    <t>Packing list=CZ-056446, Packing list=FR-056467, Packing list=IT-056491, Packing list=PL-056502</t>
  </si>
  <si>
    <t>CDJSXZTK45GAO8HCDV0</t>
  </si>
  <si>
    <t>ROOF RACK WATER TANK</t>
  </si>
  <si>
    <t>UETU5958499</t>
  </si>
  <si>
    <t>list=FR-049319</t>
  </si>
  <si>
    <t>CDJSXZTK8GALWQSO7V0</t>
  </si>
  <si>
    <t>CDK241416INCHAMF9V0</t>
  </si>
  <si>
    <t>TOOLBOX</t>
  </si>
  <si>
    <t>7310100090</t>
  </si>
  <si>
    <t>CDK301416INCH2LT5V0</t>
  </si>
  <si>
    <t>CDK361416INCH4N79V0</t>
  </si>
  <si>
    <t>CDK361718INCHPTVPV0</t>
  </si>
  <si>
    <t>CDK481718INCHFIYXV0</t>
  </si>
  <si>
    <t>CDKCGJX23017UOUSBV0</t>
  </si>
  <si>
    <t>MSCU4594885, TCLU8016320, UETU8218304</t>
  </si>
  <si>
    <t>Packing list=CZ-056026, Packing list=FR-054885, Packing list=PL-054905</t>
  </si>
  <si>
    <t>CDXLJJ2463645I36LV0</t>
  </si>
  <si>
    <t>8708299099</t>
  </si>
  <si>
    <t>8708.99.9790</t>
  </si>
  <si>
    <t>CDXLJJY251365ROA4V0</t>
  </si>
  <si>
    <t>CDZ70X50X25CMGZYMV0</t>
  </si>
  <si>
    <t>CHARGER STATION BOX</t>
  </si>
  <si>
    <t>CAIU7751371, TCLU8016320</t>
  </si>
  <si>
    <t>Packing list=CZ-056026, Packing list=PL-054903</t>
  </si>
  <si>
    <t>CDZPSJKSJKJBEH00WV9</t>
  </si>
  <si>
    <t>ROOFTOP TENT</t>
  </si>
  <si>
    <t>CDZPYTSKYTSK51QR3V9</t>
  </si>
  <si>
    <t>FCIU8346047, MSMU7575575, MSNU8925183, TCNU7880515, TGHU9726809</t>
  </si>
  <si>
    <t>Packing list=CZ-055907, Packing list=FR-054752, Packing list=PL-054770, Packing list=PL-054771, Packing list=PL-055927</t>
  </si>
  <si>
    <t>CDZPZDKZDKD0N3Q63V9</t>
  </si>
  <si>
    <t>FFAU4034300, MSMU7575575</t>
  </si>
  <si>
    <t>Packing list=FR-054748, Packing list=PL-054771</t>
  </si>
  <si>
    <t>CDZPZDKZDKX0DCT4YV9</t>
  </si>
  <si>
    <t>CRSU9232786, MSMU7575575, TCNU7880515, TGHU9726809</t>
  </si>
  <si>
    <t>Packing list=CZ-055907, Packing list=CZ-055909, Packing list=FR-054752, Packing list=PL-054771</t>
  </si>
  <si>
    <t>CFBXGGZTDJLSBZDTCV0</t>
  </si>
  <si>
    <t>FFAU2254455, UETU7729439</t>
  </si>
  <si>
    <t>list=FR-052065, list=IT-052075</t>
  </si>
  <si>
    <t>CFBXGGZTDJLSJWD20V0</t>
  </si>
  <si>
    <t>CRSU9206051</t>
  </si>
  <si>
    <t>list=CZ-050504</t>
  </si>
  <si>
    <t>CFBXGGZTDJLSLBJRWV0</t>
  </si>
  <si>
    <t>CFBXGGZTLCDJ1CSD7V0</t>
  </si>
  <si>
    <t>MSMU7812851</t>
  </si>
  <si>
    <t>list=FR-052066</t>
  </si>
  <si>
    <t>CFBXGGZTLCDJ3QDV2V0</t>
  </si>
  <si>
    <t>CFBXGGZTLCDJ6KFNJV0</t>
  </si>
  <si>
    <t>CFBXGGZTLCDJPQM9TV0</t>
  </si>
  <si>
    <t>MSMU7812851, SELU4270474, TCNU2185423</t>
  </si>
  <si>
    <t>list=CZ-050503, list=ES-049339, list=FR-052066</t>
  </si>
  <si>
    <t>CFBXGGZTLCWJ4M8YMV0</t>
  </si>
  <si>
    <t>CFBXGGZTLCWJ8T6BLV0</t>
  </si>
  <si>
    <t>CFBXGGZTLCWJNIVO5001V0</t>
  </si>
  <si>
    <t>COMMERCIAL WORKTABLES</t>
  </si>
  <si>
    <t>CFBXGGZTLCWJOPMIYV0</t>
  </si>
  <si>
    <t>CFBXGGZTLCWJTQP3G001V0</t>
  </si>
  <si>
    <t>CFBXGGZTSBT2DPGGMV0</t>
  </si>
  <si>
    <t>CAIU4763614, CMAU3392208, FFAU2254455, TCNU2185423, TIIU4570916</t>
  </si>
  <si>
    <t>list=CZ-050500, list=CZ-050503, list=FR-050518, list=FR-052062, list=IT-052075</t>
  </si>
  <si>
    <t>CFBXGGZTSBT2QR0IEV0</t>
  </si>
  <si>
    <t>CFBXGGZTSBT33DH2YV0</t>
  </si>
  <si>
    <t>CFBXGGZTSBT3TQ6L7V0</t>
  </si>
  <si>
    <t>UETU7729439</t>
  </si>
  <si>
    <t>list=FR-052065</t>
  </si>
  <si>
    <t>CFBXGGZTSBT3X3G63V0</t>
  </si>
  <si>
    <t>CFBXGGZTSCDJCHIPV001V0</t>
  </si>
  <si>
    <t>CFBXGGZTSCGZ18G6KV0</t>
  </si>
  <si>
    <t>BEAU4243644, CAIU4763614, FFAU2254455, SELU4270474</t>
  </si>
  <si>
    <t>list=ES-049339, list=FR-052062, list=FR-052081, list=IT-052075</t>
  </si>
  <si>
    <t>CFBXGGZTSCGZCKBE4V0</t>
  </si>
  <si>
    <t>MSDU5652681, SELU4270474</t>
  </si>
  <si>
    <t>list=ES-049339, list=FR-052067</t>
  </si>
  <si>
    <t>CFBXGGZTSCGZFXOQBV0</t>
  </si>
  <si>
    <t>CFBXGGZTSCGZKRMMXV0</t>
  </si>
  <si>
    <t>FFAU2254455, TCNU2185423, TIIU4570916, UETU7729439</t>
  </si>
  <si>
    <t>list=CZ-050503, list=FR-050518, list=FR-052065, list=IT-052075</t>
  </si>
  <si>
    <t>CFBXGGZTSCGZZZ9YVV0</t>
  </si>
  <si>
    <t>CFBXGGZTSCSJ5XMMKV0</t>
  </si>
  <si>
    <t>CAIU4763614, FFAU2254455</t>
  </si>
  <si>
    <t>list=FR-052062, list=IT-052075</t>
  </si>
  <si>
    <t>CFBXGGZTSCSJ88VG4V0</t>
  </si>
  <si>
    <t>CFBXGGZTSCSJV69KNV0</t>
  </si>
  <si>
    <t>CFBXGGZTSCWJ7FA11001V0</t>
  </si>
  <si>
    <t>CFGZT24X18X34YC01V0</t>
  </si>
  <si>
    <t>BEAU4243644, MSMU7812851</t>
  </si>
  <si>
    <t>list=FR-052066, list=FR-052081</t>
  </si>
  <si>
    <t>CFGZT30X12X34YC01V0</t>
  </si>
  <si>
    <t>CAIU4763614, FFAU2254455, MSCU4599790, SELU4270474</t>
  </si>
  <si>
    <t>list=ES-049339, list=FR-052062, list=IT-052075, list=PL-052083</t>
  </si>
  <si>
    <t>CFGZT30X18X34YC01V0</t>
  </si>
  <si>
    <t>CFGZT30X36X34YC01V0</t>
  </si>
  <si>
    <t>CFGZT48X24YC00001V0</t>
  </si>
  <si>
    <t>FFAU1763669, MSCU5085389, MSMU6450125, MSMU8087533, TCLU5196126</t>
  </si>
  <si>
    <t>Packing list=CZ-056444, Packing list=FR-056466, Packing list=IT-056490, Packing list=IT-056492, Packing list=PL-056501</t>
  </si>
  <si>
    <t>CFLJTDTHSST11E7W2V0</t>
  </si>
  <si>
    <t>PULL OUT TRASH CAN</t>
  </si>
  <si>
    <t>3924900090, 7310100090</t>
  </si>
  <si>
    <t>CFLJTDTHSST4PX1IZV0</t>
  </si>
  <si>
    <t>CFLJTDTHSST5PSCNSV0</t>
  </si>
  <si>
    <t>FFAU1763669, MSMU6450125, MSMU8087533, TCLU5196126</t>
  </si>
  <si>
    <t>Packing list=CZ-056444, Packing list=FR-056466, Packing list=IT-056492, Packing list=PL-056501</t>
  </si>
  <si>
    <t>CFLJTDTHSST72Y497V0</t>
  </si>
  <si>
    <t>CFLJTDTHSST7O507LV0</t>
  </si>
  <si>
    <t>CFSBHK1316INTZRZ1001V0</t>
  </si>
  <si>
    <t>KITCHEN APPLIANCE SLIDER</t>
  </si>
  <si>
    <t>4421991000</t>
  </si>
  <si>
    <t>TCKU6211341</t>
  </si>
  <si>
    <t>list=CZ-050501</t>
  </si>
  <si>
    <t>CFSBHK1612INA91FT001V0</t>
  </si>
  <si>
    <t>CFSBHKFXMCHX8NKRC001V0</t>
  </si>
  <si>
    <t>CGCTJ3CT185WKR3X3001V0</t>
  </si>
  <si>
    <t>OUTDOOR KITCHEN DRAWER</t>
  </si>
  <si>
    <t>CGGGKBXSDDHL17XY4001V2</t>
  </si>
  <si>
    <t>PORTABLE ELECTRIC HOIST WITH CONVENTIONAL HOOK</t>
  </si>
  <si>
    <t>CMAU3392208, CSNU8950231, SELU4270474</t>
  </si>
  <si>
    <t>list=CZ-050500, list=ES-049339, list=FR-049320</t>
  </si>
  <si>
    <t>CGKSBHLHL1127QOTH001V0</t>
  </si>
  <si>
    <t>HAND CHAIN HOIST</t>
  </si>
  <si>
    <t>8311300000</t>
  </si>
  <si>
    <t>CSNU6554247, TCKU6211341</t>
  </si>
  <si>
    <t>list=CZ-050501, list=FR-050517</t>
  </si>
  <si>
    <t>CGKSBHLHL112IKYYJ001V0</t>
  </si>
  <si>
    <t>CMAU9767404, MSBU7968460, MSMU7812851</t>
  </si>
  <si>
    <t>list=CZ-050502, list=FR-052066, list=IT-052076</t>
  </si>
  <si>
    <t>CGKSBHLHL1T1QXKUZ001V0</t>
  </si>
  <si>
    <t>7326200040, 8311300000</t>
  </si>
  <si>
    <t>CMAU4731862, CMAU9767404, CSNU6554247, MSBU7968460</t>
  </si>
  <si>
    <t>list=CZ-050496, list=CZ-050502, list=FR-050517, list=IT-052076</t>
  </si>
  <si>
    <t>CGKSBHLHL3T12IUDW001V0</t>
  </si>
  <si>
    <t>MSBU7968460, TGHU6404666</t>
  </si>
  <si>
    <t>list=CZ-050497, list=IT-052076</t>
  </si>
  <si>
    <t>CGKSBHLHL3T2RQB7D001V0</t>
  </si>
  <si>
    <t>CSNU6554247, MSBU7968460, TCKU6211341</t>
  </si>
  <si>
    <t>list=CZ-050501, list=FR-050517, list=IT-052076</t>
  </si>
  <si>
    <t>CGKSBHLHL6T1EG5BT001V0</t>
  </si>
  <si>
    <t>CMAU9767404</t>
  </si>
  <si>
    <t>list=CZ-050502</t>
  </si>
  <si>
    <t>CGXXRJ25X13LRYFFU001V2</t>
  </si>
  <si>
    <t>COMMERCIAL SLUSH MACHINE</t>
  </si>
  <si>
    <t>DFSU6555268, MSDU7691060</t>
  </si>
  <si>
    <t>Packing list=CZ-055657, Packing list=PL-055705</t>
  </si>
  <si>
    <t>CGXXRJ25X14LO716M001V2</t>
  </si>
  <si>
    <t>CGXXRJ25X23LBBJ9F001V2</t>
  </si>
  <si>
    <t>MSDU7691060</t>
  </si>
  <si>
    <t>Packing list=CZ-055657</t>
  </si>
  <si>
    <t>CGXXRJ25X24LT0XJF001V2</t>
  </si>
  <si>
    <t>CGXXRJX315LS56A98V2</t>
  </si>
  <si>
    <t>SLUSH MACHINE</t>
  </si>
  <si>
    <t>TCNU7880515, TGHU6287929</t>
  </si>
  <si>
    <t>Packing list=FR-054750, Packing list=FR-054752</t>
  </si>
  <si>
    <t>CGYJRQXQTJ10HY9QI001V0</t>
  </si>
  <si>
    <t>MAGNETIC INDUCTION HEATER KIT</t>
  </si>
  <si>
    <t>CGYJRQZJTJ1098HH9001V2</t>
  </si>
  <si>
    <t>CGYJRQZJTJ10AGKME001V2</t>
  </si>
  <si>
    <t>CGYJRQZJTJ10CLRWN001V2</t>
  </si>
  <si>
    <t>CGZDKDFSKCYTSR6TK001V0</t>
  </si>
  <si>
    <t>REGULAR STYLE</t>
  </si>
  <si>
    <t>9401790000</t>
  </si>
  <si>
    <t>CGZDKDFSTSLD5OT1O001V0</t>
  </si>
  <si>
    <t>CGZDKDFSTSLSEGJQP001V0</t>
  </si>
  <si>
    <t>CGZDKWFSTSLS1QCNY001V0</t>
  </si>
  <si>
    <t>CH-70SBFJDKJ00001V0</t>
  </si>
  <si>
    <t>HYDRAULIC HOLE PUNCHER WITH SEAT</t>
  </si>
  <si>
    <t>8459290000</t>
  </si>
  <si>
    <t>CHMMZYSSK232W040E001V0</t>
  </si>
  <si>
    <t>CAT DOOR</t>
  </si>
  <si>
    <t>7610100000</t>
  </si>
  <si>
    <t>CHMMZYSSK273FWVBJ001V0</t>
  </si>
  <si>
    <t>CJBTMSJBJWDS2K33Q001V2</t>
  </si>
  <si>
    <t>STAND MIXER</t>
  </si>
  <si>
    <t>8509800000</t>
  </si>
  <si>
    <t>MSDU5115018, MSMU8074217, MSMU8753250</t>
  </si>
  <si>
    <t>Packing list=CZ-056446, Packing list=IT-056493, Packing list=PL-056503</t>
  </si>
  <si>
    <t>CJBTMSJBJWDS8SCSV001V2</t>
  </si>
  <si>
    <t>FFAU3066180, MSMU8753250, TGBU9853870</t>
  </si>
  <si>
    <t>Packing list=CZ-056447, Packing list=IT-056491, Packing list=PL-056503</t>
  </si>
  <si>
    <t>CJBTMSJBJWDSF7PC4001V2</t>
  </si>
  <si>
    <t>MSDU5115018, MSMU7678871, MSMU8074217, MSMU8753250</t>
  </si>
  <si>
    <t>Packing list=CZ-056445, Packing list=CZ-056446, Packing list=IT-056493, Packing list=PL-056503</t>
  </si>
  <si>
    <t>CJBTMSJBJYDS4FKK5001V2</t>
  </si>
  <si>
    <t>STAND MIXER WITH ONLY MIXING FUNCTION</t>
  </si>
  <si>
    <t>MSBU7581677, MSMU7678871, MSMU8074217</t>
  </si>
  <si>
    <t>Packing list=CZ-056445, Packing list=IT-056493, Packing list=PL-056502</t>
  </si>
  <si>
    <t>CJGSL12YC0007VKLTV0</t>
  </si>
  <si>
    <t>RAFFLE DRUM</t>
  </si>
  <si>
    <t>3917211090</t>
  </si>
  <si>
    <t>CJT12SAECRV231T38V0</t>
  </si>
  <si>
    <t>IMPACT SOCKET SET</t>
  </si>
  <si>
    <t>8204200000</t>
  </si>
  <si>
    <t>CJTT12IN26PC00001V0</t>
  </si>
  <si>
    <t>CJTT43PC12INZJ001V0</t>
  </si>
  <si>
    <t>CJTTZ12CRMO3448AJV0</t>
  </si>
  <si>
    <t>CJTTZJ1CRMO1D0PTUV0</t>
  </si>
  <si>
    <t>CJTTZJ1CRMO8V7TC1V0</t>
  </si>
  <si>
    <t>CJTTZJ1CRV551UAHSV0</t>
  </si>
  <si>
    <t>MSDU7691060, MSDU8279268</t>
  </si>
  <si>
    <t>Packing list=CZ-055657, Packing list=PL-055706</t>
  </si>
  <si>
    <t>CJTTZJCRMO912IFZ2V0</t>
  </si>
  <si>
    <t>CJTTZJCRVCZ2UU0MY001V0</t>
  </si>
  <si>
    <t>DEEP IMPACT SOCKET</t>
  </si>
  <si>
    <t>CAIU4774748, CAIU7575647</t>
  </si>
  <si>
    <t>Packing list=CZ-055663, Packing list=PL-054558</t>
  </si>
  <si>
    <t>CJZHQZTZ111PAG8NYV0</t>
  </si>
  <si>
    <t>DRILL BIT SET</t>
  </si>
  <si>
    <t>CJZHQZTZ246PK9I75V0</t>
  </si>
  <si>
    <t>CJZHQZTZ300PEZ4SBV0</t>
  </si>
  <si>
    <t>CKDDHSJ251212BWPIV0</t>
  </si>
  <si>
    <t>GARAGE FLOORING</t>
  </si>
  <si>
    <t>3918900090</t>
  </si>
  <si>
    <t>CKDDHSJ251212I91TV0</t>
  </si>
  <si>
    <t>CKDDHSJ501212XQF0V0</t>
  </si>
  <si>
    <t>CKDDLSJ251212C791V0</t>
  </si>
  <si>
    <t>CAIU8091272, MSDU8088467</t>
  </si>
  <si>
    <t>Packing list=FR-054749, Packing list=PL-054772</t>
  </si>
  <si>
    <t>CKDDLSJ501212K34WV0</t>
  </si>
  <si>
    <t>CKDDSMH251212F3N8V0</t>
  </si>
  <si>
    <t>CKDDSMH501212WO1OV0</t>
  </si>
  <si>
    <t>CKDDYSJ2512128VEAV0</t>
  </si>
  <si>
    <t>CKDDYSJ501212KFBGV0</t>
  </si>
  <si>
    <t>DRYU9392353, MSDU8088467, TGHU9810798</t>
  </si>
  <si>
    <t>Packing list=CZ-055905, Packing list=PL-054772, Packing list=PL-054774</t>
  </si>
  <si>
    <t>CKDT7417HHS0ZZ0HQV0</t>
  </si>
  <si>
    <t>FELT GARAGE MAT</t>
  </si>
  <si>
    <t>5704900090</t>
  </si>
  <si>
    <t>CSNU5799944, FFAU2882889, SELU4270474</t>
  </si>
  <si>
    <t>list=ES-049339, list=FR-049321, list=IT-049334</t>
  </si>
  <si>
    <t>CKDT7520HHS06CFJFV0</t>
  </si>
  <si>
    <t>CKDT7619HHS0GTF4QV0</t>
  </si>
  <si>
    <t>CKDT81022HHSFA1DAV0</t>
  </si>
  <si>
    <t>CKGBGSWGJ244PAIE8001V0</t>
  </si>
  <si>
    <t>GARAGE WALL SHELVING</t>
  </si>
  <si>
    <t>CAIU7140710, MSBU6615068, MSMU6450125</t>
  </si>
  <si>
    <t>Packing list=FR-055407, Packing list=IT-056492, Packing list=PL-055437</t>
  </si>
  <si>
    <t>CKGBGSWGJ2475V9WE001V0</t>
  </si>
  <si>
    <t>CAIU7140710, MSBU6615068, MSCU5085389</t>
  </si>
  <si>
    <t>Packing list=FR-055407, Packing list=IT-056490, Packing list=PL-055437</t>
  </si>
  <si>
    <t>CKGJSNJSLCRS3T4IOV0</t>
  </si>
  <si>
    <t>GARAGE TOOL STORAGE RACK</t>
  </si>
  <si>
    <t>CKKMJ1800KG4MAPP1V2</t>
  </si>
  <si>
    <t>SLIDING GATE OPERATOR</t>
  </si>
  <si>
    <t>FFAU2233128</t>
  </si>
  <si>
    <t>Packing list=FR-055409</t>
  </si>
  <si>
    <t>CKKMJ1800KG5MAPP1V2</t>
  </si>
  <si>
    <t>FFAU2233128, MSMU7164620</t>
  </si>
  <si>
    <t>Packing list=FR-055408, Packing list=FR-055409</t>
  </si>
  <si>
    <t>CKKMJ1800KG7MAPP1V2</t>
  </si>
  <si>
    <t>CKKMJ1800KG8MAPP1V2</t>
  </si>
  <si>
    <t>CAIU9801173</t>
  </si>
  <si>
    <t>Packing list=FR-055410</t>
  </si>
  <si>
    <t>CKPB10X20FTHHVXKO001V0</t>
  </si>
  <si>
    <t>CARPORT REPLACEMENT COVER</t>
  </si>
  <si>
    <t>6306120000</t>
  </si>
  <si>
    <t>CKPB12X20FTM4VTAY001V0</t>
  </si>
  <si>
    <t>MSBU7968460, MSNU5329452</t>
  </si>
  <si>
    <t>list=FR-052068, list=IT-052076</t>
  </si>
  <si>
    <t>CKPB13X20FTH07RMFV0</t>
  </si>
  <si>
    <t>CKPSD10X10YCS8XCRV0</t>
  </si>
  <si>
    <t>DRAINAGE MAT</t>
  </si>
  <si>
    <t>3918109090</t>
  </si>
  <si>
    <t>FFAU2882889, SELU4270474</t>
  </si>
  <si>
    <t>list=ES-049339, list=IT-049334</t>
  </si>
  <si>
    <t>CKPSD12X12IN0TICAV0</t>
  </si>
  <si>
    <t>3918109090, 3918900090</t>
  </si>
  <si>
    <t>MSBU7968460, TEMU6360421, TEMU7049081, TGBU8682068</t>
  </si>
  <si>
    <t>list=ES-049340, list=FR-049322, list=IT-049336, list=IT-052076</t>
  </si>
  <si>
    <t>CKPSD12X12IN2VWPFV0</t>
  </si>
  <si>
    <t>MSBU7968460, MSNU5329452, TGBU8682068</t>
  </si>
  <si>
    <t>list=FR-052068, list=IT-049336, list=IT-052076</t>
  </si>
  <si>
    <t>CKPSD12X12IN4FGUZV0</t>
  </si>
  <si>
    <t>CKPSD12X12IN7YEXHV0</t>
  </si>
  <si>
    <t>CKPSD12X12INH8T9BV0</t>
  </si>
  <si>
    <t>CKPSD12X12INHIBDXV0</t>
  </si>
  <si>
    <t>CKPSD12X12INHT62XV0</t>
  </si>
  <si>
    <t>FFAU2882889, MSBU7968460, SELU4270474, TGHU9193042</t>
  </si>
  <si>
    <t>list=ES-049339, list=FR-052064, list=IT-049334, list=IT-052076</t>
  </si>
  <si>
    <t>CKPSD12X12INYQCJXV0</t>
  </si>
  <si>
    <t>FFAU2882889, MSBU7968460, SELU4270474, UETU7729439</t>
  </si>
  <si>
    <t>list=ES-049339, list=FR-052065, list=IT-049334, list=IT-052076</t>
  </si>
  <si>
    <t>CKPSD12X12YC7FR5ZV0</t>
  </si>
  <si>
    <t>CKPSD157157I4GH6AV0</t>
  </si>
  <si>
    <t>CLHT51JYS000TOHGMV0</t>
  </si>
  <si>
    <t>LEVEL WHEEL PROTECTOR SLEEVE</t>
  </si>
  <si>
    <t>CLJGTJ2LDXKKG5GOH001V0</t>
  </si>
  <si>
    <t>WHEEL CHOCKTIE-DOWNKIT</t>
  </si>
  <si>
    <t>5609000000</t>
  </si>
  <si>
    <t>CLJGTJ2LTXZXN7NFW001V0</t>
  </si>
  <si>
    <t>MSDU8279268</t>
  </si>
  <si>
    <t>Packing list=PL-055706</t>
  </si>
  <si>
    <t>CMXBXMMSBLACBDP02V0</t>
  </si>
  <si>
    <t>THROUGH THE DOOR DROP BOX</t>
  </si>
  <si>
    <t>CMXBXYCSBLACB3MU1V0</t>
  </si>
  <si>
    <t>CNCZXDGPDCD6PZ6T6001V9</t>
  </si>
  <si>
    <t>LINEAR GUIDE RAIL</t>
  </si>
  <si>
    <t>8466934000</t>
  </si>
  <si>
    <t>FCIU8346047, TCNU7880515, TGHU9726809</t>
  </si>
  <si>
    <t>Packing list=CZ-055907, Packing list=FR-054752, Packing list=PL-055927</t>
  </si>
  <si>
    <t>CP2815-STHJ000001V2</t>
  </si>
  <si>
    <t>CPGSHRQ161606S869V0</t>
  </si>
  <si>
    <t>PLATE EXCHANGER</t>
  </si>
  <si>
    <t>8409990010</t>
  </si>
  <si>
    <t>MSMU8074217, MSMU8950984, TCLU4986759</t>
  </si>
  <si>
    <t>Packing list=FR-056465, Packing list=IT-056493, Packing list=PL-056500</t>
  </si>
  <si>
    <t>CPGSHRQ18200VCZ68V0</t>
  </si>
  <si>
    <t>MSBU7304672</t>
  </si>
  <si>
    <t>Packing list=PL-056499</t>
  </si>
  <si>
    <t>CPGSHRQ202001R9UUV0</t>
  </si>
  <si>
    <t>MSBU7304672, MSMU8074217, MSMU8950984</t>
  </si>
  <si>
    <t>Packing list=FR-056465, Packing list=IT-056493, Packing list=PL-056499</t>
  </si>
  <si>
    <t>CPPZPEKCGK10365WEV0</t>
  </si>
  <si>
    <t>LAWN LEVELER RAKE</t>
  </si>
  <si>
    <t>8201900000</t>
  </si>
  <si>
    <t>CPPZPEKCGK1095NBKV0</t>
  </si>
  <si>
    <t>CPPZPEKCGK10M9OTKV0</t>
  </si>
  <si>
    <t>CPPZPEKCGK10XK3HSV0</t>
  </si>
  <si>
    <t>CPPZPEKGLK10BJFKJ002V0</t>
  </si>
  <si>
    <t>8467295300</t>
  </si>
  <si>
    <t>CPTZJYCPTZ3ZAV9RT001V0</t>
  </si>
  <si>
    <t>CYMBALS</t>
  </si>
  <si>
    <t>9206000000</t>
  </si>
  <si>
    <t>CQCBGTLXBCLQQ3A56001V2</t>
  </si>
  <si>
    <t>INFLATABLE BOUNCE HOUSE</t>
  </si>
  <si>
    <t>CAAU6920828, MSBU7304672, MSMU8950984, TCLU4986759, TGBU9853870</t>
  </si>
  <si>
    <t>Packing list=CZ-056443, Packing list=FR-056465, Packing list=IT-056491, Packing list=PL-056499, Packing list=PL-056500</t>
  </si>
  <si>
    <t>CQCBKWSLXSCXQDNIX001V2</t>
  </si>
  <si>
    <t>CQFTLBX85FTC79C7M001V0</t>
  </si>
  <si>
    <t>INFLATABLE FLOATING DOCK</t>
  </si>
  <si>
    <t>9506290000</t>
  </si>
  <si>
    <t>CQFTLBX85FTWWJABA001V0</t>
  </si>
  <si>
    <t>CQFTYX108FTWWNJJ1001V0</t>
  </si>
  <si>
    <t>CQFTYX10FTCSK1WG0001V0</t>
  </si>
  <si>
    <t>MSBU7968460, MSMU8224934, UETU7729439</t>
  </si>
  <si>
    <t>list=FR-052059, list=FR-052065, list=IT-052076</t>
  </si>
  <si>
    <t>CQFTYX156FTW7L9QO001V0</t>
  </si>
  <si>
    <t>CQFTYX8FTCSWB26F7001V0</t>
  </si>
  <si>
    <t>CQFTYX8FTWZXGFXYE001V0</t>
  </si>
  <si>
    <t>MSMU8224934, TGHU9193042</t>
  </si>
  <si>
    <t>list=FR-052059, list=FR-052064</t>
  </si>
  <si>
    <t>CQFTZFX1010FY2ANJ001V0</t>
  </si>
  <si>
    <t>FFAU2254455, MSMU8224934</t>
  </si>
  <si>
    <t>list=FR-052059, list=IT-052075</t>
  </si>
  <si>
    <t>CQFTZFX106FT94P85001V0</t>
  </si>
  <si>
    <t>CSNU8543508, MSMU8224934, TGHU9193042</t>
  </si>
  <si>
    <t>list=FR-049318, list=FR-052059, list=FR-052064</t>
  </si>
  <si>
    <t>CQFTZFX15X651FXW5001V0</t>
  </si>
  <si>
    <t>TGHU9193042</t>
  </si>
  <si>
    <t>list=FR-052064</t>
  </si>
  <si>
    <t>CQFTZFX86FTWXA7VX001V0</t>
  </si>
  <si>
    <t>CQJBDZYK106F7S9ZK001V0</t>
  </si>
  <si>
    <t>PADDLE BOARD</t>
  </si>
  <si>
    <t>TEMU6360421, TEMU7049081, TGBU8682068</t>
  </si>
  <si>
    <t>list=ES-049340, list=FR-049322, list=IT-049336</t>
  </si>
  <si>
    <t>CQJBDZYK10FTJW81S001V0</t>
  </si>
  <si>
    <t>CQJBPTK106FTLP2FW001V0</t>
  </si>
  <si>
    <t>9506290000, 9506919000</t>
  </si>
  <si>
    <t>FSCU8031100, TEMU6360421, TEMU7049081</t>
  </si>
  <si>
    <t>list=ES-049340, list=FR-049322, list=IT-049338</t>
  </si>
  <si>
    <t>CQJBPTK10FT3LC4WN001V0</t>
  </si>
  <si>
    <t>CQJBPTK116FTSGCXH001V0</t>
  </si>
  <si>
    <t>CQJBPTK11FT3YGYWN001V0</t>
  </si>
  <si>
    <t>CQJXZQFB25MMNUSSW001V2</t>
  </si>
  <si>
    <t>JUMBO SOCCER DARTS,NOTE:WITH AIR BLOWER.THE</t>
  </si>
  <si>
    <t>CQJXZQFB3MHSP9MLH001V2</t>
  </si>
  <si>
    <t>CAIU7733254, MSBU8246837, MSMU8074217</t>
  </si>
  <si>
    <t>Packing list=CZ-056449, Packing list=PL-056510, Packing list=IT-056493</t>
  </si>
  <si>
    <t>CQSPQF108585RHWTN001V2</t>
  </si>
  <si>
    <t>MSMU8074217</t>
  </si>
  <si>
    <t>Packing list=IT-056493</t>
  </si>
  <si>
    <t>CQSPQFLSKCGLKJFV4V2</t>
  </si>
  <si>
    <t>4202921100</t>
  </si>
  <si>
    <t>CQSPQFLSKCGLKNDD2V2</t>
  </si>
  <si>
    <t>MSBU6615068, MSCU5085389, MSMU8950984, TCLU5196126</t>
  </si>
  <si>
    <t>Packing list=CZ-056444, Packing list=FR-056465, Packing list=IT-056490, Packing list=PL-055437</t>
  </si>
  <si>
    <t>CQSPQFLSS2010Y97FV2</t>
  </si>
  <si>
    <t>CQZ1010FTZDBLVJT8001V9</t>
  </si>
  <si>
    <t>INFLATABLE CABIN TENTS</t>
  </si>
  <si>
    <t>6306220000, 6306290000</t>
  </si>
  <si>
    <t>MSMU7164620, TRHU6827398</t>
  </si>
  <si>
    <t>Packing list=FR-055408, Packing list=FR-055411</t>
  </si>
  <si>
    <t>CQZ1010FTZDBO29S9001V9</t>
  </si>
  <si>
    <t>CQZ148FTZDBMI5I66001V9</t>
  </si>
  <si>
    <t>CQZ7575FTZDBIYGL8001V9</t>
  </si>
  <si>
    <t>CQZ7575FTZDBV78KV001V9</t>
  </si>
  <si>
    <t>CAIU9801173, MSMU7164620</t>
  </si>
  <si>
    <t>Packing list=FR-055408, Packing list=FR-055410</t>
  </si>
  <si>
    <t>CSDHSPVCB2401ECBZ003V0</t>
  </si>
  <si>
    <t>WATER STORAGE BLADDER</t>
  </si>
  <si>
    <t>3925100000</t>
  </si>
  <si>
    <t>CSNU5799944, SELU4270474</t>
  </si>
  <si>
    <t>list=ES-049339, list=FR-049321</t>
  </si>
  <si>
    <t>CSDLSPVC113LPS9FD001V0</t>
  </si>
  <si>
    <t>CSDLSPVC240LSO68O001V0</t>
  </si>
  <si>
    <t>CSUV6508008004E90V0</t>
  </si>
  <si>
    <t>SUV TENT</t>
  </si>
  <si>
    <t>MSBU8246837, MSMU8074217</t>
  </si>
  <si>
    <t>Packing list=CZ-056449, Packing list=IT-056493</t>
  </si>
  <si>
    <t xml:space="preserve">6306.22.0000 </t>
  </si>
  <si>
    <t>CTCBTEJBTDBA9FNN5001V0</t>
  </si>
  <si>
    <t>BOAT TRAILER STEPS</t>
  </si>
  <si>
    <t>CTCBTSJBTDBARWF2C001V0</t>
  </si>
  <si>
    <t>CTG16X22.3X180001V0</t>
  </si>
  <si>
    <t>8302419000, 9403208000</t>
  </si>
  <si>
    <t>CTG19.6X26.600001V0</t>
  </si>
  <si>
    <t>CTG30X10X20000001V0</t>
  </si>
  <si>
    <t>FFAU2882889, MSBU7968460, TCLU7779061, TEMU6360421</t>
  </si>
  <si>
    <t>list=ES-049340, list=FR-052055, list=IT-049334, list=IT-052076</t>
  </si>
  <si>
    <t>CTSBXSGJX86I4GRVMV0</t>
  </si>
  <si>
    <t>PORTABLE TOOL BOXES</t>
  </si>
  <si>
    <t>CTSJTYKLBST47YW3EV0</t>
  </si>
  <si>
    <t>LECTERNS</t>
  </si>
  <si>
    <t>CW-1632JXYGQZH001V0</t>
  </si>
  <si>
    <t>CW HYDRAULIC SERIES TOOLS</t>
  </si>
  <si>
    <t>MSCU5340294, MSMU7055486</t>
  </si>
  <si>
    <t>Packing list=CZ-055656, Packing list=PL-055704</t>
  </si>
  <si>
    <t>CWBBL2234L00QOB5J001V0</t>
  </si>
  <si>
    <t>MOTORCYCLE BAG</t>
  </si>
  <si>
    <t>4202121100, 4202221000</t>
  </si>
  <si>
    <t>CAIU7751371, MSCU4594885, TCLU8016320</t>
  </si>
  <si>
    <t>Packing list=CZ-056026, Packing list=FR-054885, Packing list=PL-054903</t>
  </si>
  <si>
    <t>CWCT1YKLDD1GCPFV6001V0</t>
  </si>
  <si>
    <t>STORAGE DRAWERS</t>
  </si>
  <si>
    <t>9403700000</t>
  </si>
  <si>
    <t>TRHU8526897</t>
  </si>
  <si>
    <t>Packing list=PL-054563</t>
  </si>
  <si>
    <t>CWJKYDCFCZSL247AM001V0</t>
  </si>
  <si>
    <t>WINDSHIELD STORAGE CABINET MODEL</t>
  </si>
  <si>
    <t>CWJKYDCFHSHSB10K7V0</t>
  </si>
  <si>
    <t>WINDSHIELD OUTDOOR CAMPING KITCHEN</t>
  </si>
  <si>
    <t>7615101090</t>
  </si>
  <si>
    <t>MEDU7964892</t>
  </si>
  <si>
    <t>Packing list=PL-054555</t>
  </si>
  <si>
    <t>CWLGXHS18LBSRAD6RV0</t>
  </si>
  <si>
    <t>PET CARRIER WITH WHEELS</t>
  </si>
  <si>
    <t>4202929890</t>
  </si>
  <si>
    <t>CWLGXHS35LBSIBG1WV0</t>
  </si>
  <si>
    <t>CWLHJPEGJZG0U1SZU001V0</t>
  </si>
  <si>
    <t>FISHING NET &amp; CRAB TRAP</t>
  </si>
  <si>
    <t>9507900000</t>
  </si>
  <si>
    <t>CAAU6199835</t>
  </si>
  <si>
    <t>list=CZ-050499</t>
  </si>
  <si>
    <t>CWLHJPVCXJDG8B2JV001V0</t>
  </si>
  <si>
    <t>CMAU4731862, FSCU8031100</t>
  </si>
  <si>
    <t>list=CZ-050496, list=IT-049338</t>
  </si>
  <si>
    <t>CWLHJPVCXJZGEGI57001V0</t>
  </si>
  <si>
    <t>FSCU8031100</t>
  </si>
  <si>
    <t>list=IT-049338</t>
  </si>
  <si>
    <t>CWTXWPEGJZG01YCWL001V0</t>
  </si>
  <si>
    <t>7326909890, 9507900000</t>
  </si>
  <si>
    <t>CAAU6199835, CBHU9175188</t>
  </si>
  <si>
    <t>list=CZ-050499, list=IT-049337</t>
  </si>
  <si>
    <t>CXGCBLBGHBL3CGGHBV0</t>
  </si>
  <si>
    <t>MAGNETIC DRY ERASE GLASS BOARD</t>
  </si>
  <si>
    <t>7016901000, 9610000000</t>
  </si>
  <si>
    <t>FFAU2882889, TEMU7049081, TGHU9193042</t>
  </si>
  <si>
    <t>list=FR-049322, list=FR-052064, list=IT-049334</t>
  </si>
  <si>
    <t>CXGCBLBGHBL3VB8RKV0</t>
  </si>
  <si>
    <t>FFAU2882889, TEMU6360421, TEMU7049081</t>
  </si>
  <si>
    <t>list=ES-049340, list=FR-049322, list=IT-049334</t>
  </si>
  <si>
    <t>CXGCBLBGHBL4O9WH5V0</t>
  </si>
  <si>
    <t>FFAU2882889, FSCU8031100, TEMU6360421, TEMU7049081</t>
  </si>
  <si>
    <t>list=ES-049340, list=FR-049322, list=IT-049334, list=IT-049338</t>
  </si>
  <si>
    <t>CXQSQTZ2432IGCPZVV0</t>
  </si>
  <si>
    <t>MAGNETIC SWEEPER</t>
  </si>
  <si>
    <t>CAIU7751371</t>
  </si>
  <si>
    <t>Packing list=PL-054903</t>
  </si>
  <si>
    <t>CXQSQTZ3632I3TYDJV0</t>
  </si>
  <si>
    <t>CXSBSHS29IN1ZXJLBV0</t>
  </si>
  <si>
    <t>OUTDOOR WALL-MOUNTED HANDRAIL</t>
  </si>
  <si>
    <t>CXSBSHS32IN1Q0NRVV0</t>
  </si>
  <si>
    <t>CXZDZXC4L25KEBY5A001V2</t>
  </si>
  <si>
    <t>RECREATIONAL MOBILITY SCOOTER</t>
  </si>
  <si>
    <t>8712007099</t>
  </si>
  <si>
    <t>CYBMG10GPM147B515V9</t>
  </si>
  <si>
    <t>DC FUEL TRANSFER PUMP</t>
  </si>
  <si>
    <t>8413602090</t>
  </si>
  <si>
    <t>CYJPAZZJPOLAMOUBY001V0</t>
  </si>
  <si>
    <t>WINCH MOUNT</t>
  </si>
  <si>
    <t>8708999790</t>
  </si>
  <si>
    <t>CYJRQDDKLS8KOS4H9V2</t>
  </si>
  <si>
    <t>DIESEL HEATER</t>
  </si>
  <si>
    <t>CYJRQDDKWS8KHTGEXV2</t>
  </si>
  <si>
    <t>AIR HEATER PARKING HEATER, DIESEL HEATER</t>
  </si>
  <si>
    <t>CSNU5799944, CSNU8543508, FFAU2882889, SELU4270474, UETU5958499</t>
  </si>
  <si>
    <t>list=ES-049339, list=FR-049318, list=FR-049319, list=FR-049321, list=IT-049334</t>
  </si>
  <si>
    <t>CYJRQHWKLS2KWXH0UV2</t>
  </si>
  <si>
    <t>MSNU9709759</t>
  </si>
  <si>
    <t>list=FR-052053</t>
  </si>
  <si>
    <t>CYJRQPJ5KW8K2FCIDV0</t>
  </si>
  <si>
    <t>DIESEL HEATER PARTS</t>
  </si>
  <si>
    <t>CYQYLYXCYQY1Z9EFW001V9</t>
  </si>
  <si>
    <t>PORTABLE DIESEL TANK</t>
  </si>
  <si>
    <t>MSDU8279268, MSDU8587147</t>
  </si>
  <si>
    <t>Packing list=CZ-054516, Packing list=PL-055706</t>
  </si>
  <si>
    <t>CYSDJP800BG0IYPD8V0</t>
  </si>
  <si>
    <t>HAND WINCH</t>
  </si>
  <si>
    <t>CYXCY58GALXK2Q372001V9</t>
  </si>
  <si>
    <t>CYZYPDPTHJ96U4ST1001V0</t>
  </si>
  <si>
    <t>CZCJCTDG100L8MI5FV0</t>
  </si>
  <si>
    <t>DRAWER SLIDES</t>
  </si>
  <si>
    <t>CZCJCTDG100L9BKQKV0</t>
  </si>
  <si>
    <t>UETU7801282</t>
  </si>
  <si>
    <t>Packing list=IT-056489</t>
  </si>
  <si>
    <t>CZCJCTDG100L9KG10V0</t>
  </si>
  <si>
    <t>CZCJCTDG100L9P7WTV0</t>
  </si>
  <si>
    <t>CZCJCTDG100L9UZXZV0</t>
  </si>
  <si>
    <t>CZCJCTDG100LE0R7SV0</t>
  </si>
  <si>
    <t>CZCJCTDG100LF91G5V0</t>
  </si>
  <si>
    <t>CAAU6920828, MSNU9759770, UETU7801282</t>
  </si>
  <si>
    <t>Packing list=CZ-056443, Packing list=FR-055406, Packing list=IT-056489</t>
  </si>
  <si>
    <t>CZCJCTDG100LG511JV0</t>
  </si>
  <si>
    <t>CZCJCTDG100LMGUA0V0</t>
  </si>
  <si>
    <t>CZCJCTDG100LPFFRWV0</t>
  </si>
  <si>
    <t>CZCJCTDG100LPTUBQV0</t>
  </si>
  <si>
    <t>MSNU9759770, UETU7801282</t>
  </si>
  <si>
    <t>Packing list=FR-055406, Packing list=IT-056489</t>
  </si>
  <si>
    <t>CZCJCTDG100LPZMLNV0</t>
  </si>
  <si>
    <t>CZCJCTDG100LW77EDV0</t>
  </si>
  <si>
    <t>CZQGJ1200MMSDDGDZV0</t>
  </si>
  <si>
    <t>TILE CUTTER</t>
  </si>
  <si>
    <t>CZQGJ1200SDHWXJMJV0</t>
  </si>
  <si>
    <t>8464100000</t>
  </si>
  <si>
    <t>CZQGJ800MMSDDGWZCV0</t>
  </si>
  <si>
    <t>CZSCYMKZQEVIMZ0MCV9</t>
  </si>
  <si>
    <t>OUTBOARD REMOTE CONTROL BOX</t>
  </si>
  <si>
    <t>MSMU6450125, MSNU8909623, TCLU5196126</t>
  </si>
  <si>
    <t>Packing list=CZ-056444, Packing list=IT-056492, Packing list=PL-056511</t>
  </si>
  <si>
    <t>CZSCYMKZQMERPYLKAV9</t>
  </si>
  <si>
    <t>CZSOHSDUX178UREEZ001V0</t>
  </si>
  <si>
    <t>TRAILER LOCK</t>
  </si>
  <si>
    <t>CZSPHTTC10INP1Q50001V0</t>
  </si>
  <si>
    <t>KAYAK TRAILER</t>
  </si>
  <si>
    <t>CZSPHTTC10INTL5QS001V0</t>
  </si>
  <si>
    <t>KAYAK TRAILER, KAYAK TROLLEY</t>
  </si>
  <si>
    <t>FFAU2882889, SELU4270474, UETU5958499</t>
  </si>
  <si>
    <t>list=ES-049339, list=FR-049319, list=IT-049334</t>
  </si>
  <si>
    <t>CZXNBQ2.5KW12V2YJV9</t>
  </si>
  <si>
    <t>PURE SINE WAVE INVERTER</t>
  </si>
  <si>
    <t>8504408790, 8504409590</t>
  </si>
  <si>
    <t>AXIU1638505, CLHU8567219, FFAU4034300</t>
  </si>
  <si>
    <t>Packing list=FR-054748, Packing list=PL-054775, Packing list=PL-055928</t>
  </si>
  <si>
    <t>CZZP30YCBLTMNYA7MV0</t>
  </si>
  <si>
    <t>GLASS DINING TABLE TURNTABLE</t>
  </si>
  <si>
    <t>9403609000</t>
  </si>
  <si>
    <t>D1LH1LH4L220V0VTNV2</t>
  </si>
  <si>
    <t>CAIU8091272</t>
  </si>
  <si>
    <t>Packing list=FR-054749</t>
  </si>
  <si>
    <t>D1LH1LH4L220V4MQSV2</t>
  </si>
  <si>
    <t>D1LH4L1LH220VY79GV2</t>
  </si>
  <si>
    <t>DBQGWCC56INCC9KHQ001V0</t>
  </si>
  <si>
    <t>PRY LEVER</t>
  </si>
  <si>
    <t>DBQJDLT3TSGBVH6KL001V0</t>
  </si>
  <si>
    <t>FLOOR JACK</t>
  </si>
  <si>
    <t>DBQJDTZ25TDGJUUBZ001V0</t>
  </si>
  <si>
    <t>DBQJDTZ25TDGUXBVX001V0</t>
  </si>
  <si>
    <t>DBQJDTZ2TDGBU9ZCE001V0</t>
  </si>
  <si>
    <t>DBQJDTZ3TDGBURLE2001V0</t>
  </si>
  <si>
    <t>DBQJDTZ3TSGBPV5QX001V0</t>
  </si>
  <si>
    <t>DBYQBKWFS000DD52CV0</t>
  </si>
  <si>
    <t>ﬂOOR CHAIR</t>
  </si>
  <si>
    <t>DBZCQJD1216IIFOIIV0</t>
  </si>
  <si>
    <t>FLOOR SUPPORT JACKS</t>
  </si>
  <si>
    <t>CARU5285706, TCNU7880515</t>
  </si>
  <si>
    <t>Packing list=CZ-055908, Packing list=FR-054752</t>
  </si>
  <si>
    <t>DBZCQJD1G1121DU27V0</t>
  </si>
  <si>
    <t>CARU5285706, GLDU7246065, TCNU7880515</t>
  </si>
  <si>
    <t>Packing list=CZ-055906, Packing list=CZ-055908, Packing list=FR-054752</t>
  </si>
  <si>
    <t>DBZCQJD1G180ANNFGV0</t>
  </si>
  <si>
    <t>FCIU8346047, GLDU7246065, TCNU7880515</t>
  </si>
  <si>
    <t>Packing list=CZ-055906, Packing list=FR-054752, Packing list=PL-055927</t>
  </si>
  <si>
    <t>DBZCQJD1G180O7V19V0</t>
  </si>
  <si>
    <t>CARU5285706, CLHU8567219, TCNU7880515</t>
  </si>
  <si>
    <t>Packing list=CZ-055908, Packing list=FR-054752, Packing list=PL-055928</t>
  </si>
  <si>
    <t>DBZCQJD1G180QDA02V0</t>
  </si>
  <si>
    <t>CARU5285706, CLHU8567219, GLDU7246065, TCNU7880515</t>
  </si>
  <si>
    <t>Packing list=CZ-055906, Packing list=CZ-055908, Packing list=FR-054752, Packing list=PL-055928</t>
  </si>
  <si>
    <t>DBZCQJD1G2476AGANV0</t>
  </si>
  <si>
    <t>GLDU7246065, TCNU7880515</t>
  </si>
  <si>
    <t>Packing list=CZ-055906, Packing list=FR-054752</t>
  </si>
  <si>
    <t>DBZXCL000000VUTKPV0</t>
  </si>
  <si>
    <t>DCBYT72X54INIXGUYV0</t>
  </si>
  <si>
    <t>MOVING BLANKET</t>
  </si>
  <si>
    <t>5702929000</t>
  </si>
  <si>
    <t>DCBYT72X54INR64KOV0</t>
  </si>
  <si>
    <t>DCBYT80X72IN5J3EWV0</t>
  </si>
  <si>
    <t>DCBYT96X80INMZ6ETV0</t>
  </si>
  <si>
    <t>MOVING BLANKET, SOUND BLANKET</t>
  </si>
  <si>
    <t>DCHJSDCH24278S2YB001V0</t>
  </si>
  <si>
    <t>BATTERY BOX</t>
  </si>
  <si>
    <t>8536909500</t>
  </si>
  <si>
    <t>DCJDBZZSS2CISO761V2</t>
  </si>
  <si>
    <t>BILL COUNTER</t>
  </si>
  <si>
    <t>8543709010</t>
  </si>
  <si>
    <t>DCJH1UVMGIRDDFUJ5V2</t>
  </si>
  <si>
    <t>AXIU1638505, GLDU7246065, TGHU9810798</t>
  </si>
  <si>
    <t>Packing list=CZ-055905, Packing list=CZ-055906, Packing list=PL-054775</t>
  </si>
  <si>
    <t>DCPQCQDRCPFX0K4QAV2</t>
  </si>
  <si>
    <t>RESTAURANT PAGER</t>
  </si>
  <si>
    <t>DCPQCQFX10HSUWM3LV2</t>
  </si>
  <si>
    <t>MSMU7164620</t>
  </si>
  <si>
    <t>Packing list=FR-055408</t>
  </si>
  <si>
    <t>DCS6FTKQXJD0RFKVR001V0</t>
  </si>
  <si>
    <t>THATCHED UMBRELLA</t>
  </si>
  <si>
    <t>DCSLTZP1010FTX08HV0</t>
  </si>
  <si>
    <t>POP UP CANOPY</t>
  </si>
  <si>
    <t>FFAU1763669, MSMU7678871, TCLU4986759, TGBU9853870</t>
  </si>
  <si>
    <t>Packing list=CZ-056445, Packing list=FR-056466, Packing list=IT-056491, Packing list=PL-056500</t>
  </si>
  <si>
    <t>DCSPQYSJZS18QCKX0001V2</t>
  </si>
  <si>
    <t>FREESTANDING FOUNTAINS</t>
  </si>
  <si>
    <t>3926400000</t>
  </si>
  <si>
    <t>DCSTHJTC350LLZY72V0</t>
  </si>
  <si>
    <t>WELDING TABLE</t>
  </si>
  <si>
    <t>8716800000</t>
  </si>
  <si>
    <t>DCSYPBS1010FTGMH8V0</t>
  </si>
  <si>
    <t>6306120000, 6306220000</t>
  </si>
  <si>
    <t>CAIU7733254, MSBU7581677, MSMU7678871, TGBU9853870</t>
  </si>
  <si>
    <t>Packing list=CZ-056445, Packing list=IT-056491, Packing list=PL-056510, Packing list=PL-056502</t>
  </si>
  <si>
    <t>DCX53GAL32GALWN45V0</t>
  </si>
  <si>
    <t>PORTABLE TOILET</t>
  </si>
  <si>
    <t>MSDU5605756, UETU6075441</t>
  </si>
  <si>
    <t>Packing list=CZ-055665, Packing list=PL-054561</t>
  </si>
  <si>
    <t>DCXBXSMTY63GMEF0J001V0</t>
  </si>
  <si>
    <t>3922900000</t>
  </si>
  <si>
    <t>BEAU5878887, MSDU5605756, MSDU8587147</t>
  </si>
  <si>
    <t>Packing list=CZ-054516, Packing list=CZ-055658, Packing list=CZ-055665</t>
  </si>
  <si>
    <t>DCZ9684INCH570FH1001V0</t>
  </si>
  <si>
    <t>POP-UP CABIN TENTS</t>
  </si>
  <si>
    <t>DD1320LBS21FTUX97V2</t>
  </si>
  <si>
    <t>ELECTRIC HOIST</t>
  </si>
  <si>
    <t>, BEAU4243644, CBHU9175188, CSNU8719578, MSDU5652681, SELU4270474, TGBU8682068</t>
  </si>
  <si>
    <t>list=ES-049339, list=ES-049341, list=FR-049324, list=FR-052067, list=FR-052081, list=IT-049336, list=IT-049337</t>
  </si>
  <si>
    <t>DD2200LBS21FT8V69V2</t>
  </si>
  <si>
    <t>BEAU4243644, CBHU9175188, CMAU4567738, CSNU7335475</t>
  </si>
  <si>
    <t>list=CZ-050495, list=FR-049325, list=FR-052081, list=IT-049337</t>
  </si>
  <si>
    <t>DDBXJYKLBOC37RB8QV2</t>
  </si>
  <si>
    <t>MSBU8068680, MSDU8450658, TRHU8526897, TXGU8904131, UETU7550736</t>
  </si>
  <si>
    <t>Packing list=CZ-054518, Packing list=CZ-054519, Packing list=CZ-055659, Packing list=PL-054562, Packing list=PL-054563</t>
  </si>
  <si>
    <t>DDCBJ8GST000Q1RYQV2</t>
  </si>
  <si>
    <t>ELECTRIC COMMERCIAL GLASS WASHER</t>
  </si>
  <si>
    <t>DDCYTCJP2000DZXK7001V9</t>
  </si>
  <si>
    <t>8425310000</t>
  </si>
  <si>
    <t>DDDPSGWYMJ10GU5ZEV2</t>
  </si>
  <si>
    <t>GRAIN GRINDER</t>
  </si>
  <si>
    <t>MSNU8441810, MSNU9783205</t>
  </si>
  <si>
    <t>Packing list=FR-054886, Packing list=PL-054904</t>
  </si>
  <si>
    <t>DDDPSGWYMJ208ZOH2V2</t>
  </si>
  <si>
    <t>DDDPSGWYMJ25ODXN1V2</t>
  </si>
  <si>
    <t>DDDPSGWYMJ300P8BEV2</t>
  </si>
  <si>
    <t>DDDPSGWYMJ501AHOIV2</t>
  </si>
  <si>
    <t>DDDPSGWYMJ75AIW6QV2</t>
  </si>
  <si>
    <t>DDDPSGWYMJ75VR7JBV2</t>
  </si>
  <si>
    <t>DDDSZJSJSVES3TZWNV2</t>
  </si>
  <si>
    <t>TV LIFT</t>
  </si>
  <si>
    <t>DDG550LBS21FTW2DOV2</t>
  </si>
  <si>
    <t>, BEAU4243644, CMAU4567738, CSNU7335475, CSNU8719578, TGBU8682068</t>
  </si>
  <si>
    <t>list=CZ-050495, list=ES-049341, list=FR-049324, list=FR-049325, list=FR-052081, list=IT-049336</t>
  </si>
  <si>
    <t>DDG880LBS21FT9C4WV2</t>
  </si>
  <si>
    <t>, BEAU4243644, CSNU8719578, TGBU8682068</t>
  </si>
  <si>
    <t>list=ES-049341, list=FR-049324, list=FR-052081, list=IT-049336</t>
  </si>
  <si>
    <t>DDGSSHLYXWXS5L5MUV2</t>
  </si>
  <si>
    <t>, CSNU8719578, MSDU5652681, TGBU8682068</t>
  </si>
  <si>
    <t>list=ES-049341, list=FR-049324, list=FR-052067, list=IT-049336</t>
  </si>
  <si>
    <t>DDGSSHLYXWXSTO5XWV2</t>
  </si>
  <si>
    <t>DDGSSHLYXWXSZ60OHV2</t>
  </si>
  <si>
    <t>, CMAU4567738, CSNU7335475, TCNU2185423, TGBU8682068</t>
  </si>
  <si>
    <t>list=CZ-050495, list=CZ-050503, list=ES-049341, list=FR-049325, list=IT-049336</t>
  </si>
  <si>
    <t>DDGSSHLYXYKKE1A3TV2</t>
  </si>
  <si>
    <t>MSDU5652681</t>
  </si>
  <si>
    <t>list=FR-052067</t>
  </si>
  <si>
    <t>DDGSSHLYXYKKENXQQV2</t>
  </si>
  <si>
    <t>CBHU9175188, CMAU4567738, CSNU7335475</t>
  </si>
  <si>
    <t>list=CZ-050495, list=FR-049325, list=IT-049337</t>
  </si>
  <si>
    <t>DDGSSHLYXYKKGTE5KV2</t>
  </si>
  <si>
    <t>CBHU9175188, TGHU6404666</t>
  </si>
  <si>
    <t>list=CZ-050497, list=IT-049337</t>
  </si>
  <si>
    <t>DDGSSHLYXYKKY1RV9V2</t>
  </si>
  <si>
    <t>DDGSSHLYXYKKYD0QSV2</t>
  </si>
  <si>
    <t>DDGSSJPYXWXYMXBC5V9</t>
  </si>
  <si>
    <t>CAIU7575647, FDCU0243422, MSDU8450658, TXGU8904131</t>
  </si>
  <si>
    <t>Packing list=CZ-054518, Packing list=CZ-055663, Packing list=PL-054559, Packing list=PL-054562</t>
  </si>
  <si>
    <t>DDHCSJPYXWXYBQ8X5V9</t>
  </si>
  <si>
    <t>DDHCSJPYXWXYX3JLDV9</t>
  </si>
  <si>
    <t>MSDU8450658, TRHU8526897</t>
  </si>
  <si>
    <t>Packing list=CZ-054518, Packing list=PL-054563</t>
  </si>
  <si>
    <t>DDHCSJPYXWXYZAFQNV9</t>
  </si>
  <si>
    <t>DDHLSDXC05T2B96BSV0</t>
  </si>
  <si>
    <t>MANUAL TROLLEY</t>
  </si>
  <si>
    <t>BEAU4243644, CMAU4731862, MSBU7968460, MSMU8224934, TCKU6211341</t>
  </si>
  <si>
    <t>list=CZ-050496, list=CZ-050501, list=FR-052059, list=FR-052081, list=IT-052076</t>
  </si>
  <si>
    <t>DDHLSDXC1T26IDDHFV0</t>
  </si>
  <si>
    <t>BEAU4243644, CMAU4731862, FFAU2882889, TEMU6360421</t>
  </si>
  <si>
    <t>list=CZ-050496, list=ES-049340, list=FR-052081, list=IT-049334</t>
  </si>
  <si>
    <t>DDJBJ30LB30B00001V2</t>
  </si>
  <si>
    <t>BLENDER</t>
  </si>
  <si>
    <t>MEDU8298620</t>
  </si>
  <si>
    <t>Packing list=CZ-055902</t>
  </si>
  <si>
    <t>DDJPCZDJDDJPFT516V9</t>
  </si>
  <si>
    <t>TRUCK CRANES</t>
  </si>
  <si>
    <t>TEMU7049081</t>
  </si>
  <si>
    <t>list=FR-049322</t>
  </si>
  <si>
    <t>DDJSQJDTJDWC3D2K7V9</t>
  </si>
  <si>
    <t>ELECTRIC SCISSOR JACK</t>
  </si>
  <si>
    <t>DDJSSJPT350LBSAZ9V2</t>
  </si>
  <si>
    <t>LIFT TABLE CART</t>
  </si>
  <si>
    <t>DDKSCJ16YCDD14IYX001V2</t>
  </si>
  <si>
    <t>LEAF TRIMMER</t>
  </si>
  <si>
    <t>8436809000</t>
  </si>
  <si>
    <t>DDKSCJ16YCDDCMDD0001V2</t>
  </si>
  <si>
    <t>FFAU3066180</t>
  </si>
  <si>
    <t>Packing list=CZ-056447</t>
  </si>
  <si>
    <t>DDKSCJ18YCDD426HA001V2</t>
  </si>
  <si>
    <t>DDMPSGWYMJLJOM53QV2</t>
  </si>
  <si>
    <t>MEDU4464722, MSNU8441810, MSNU9783205</t>
  </si>
  <si>
    <t>Packing list=FR-054884, Packing list=FR-054886, Packing list=PL-054904</t>
  </si>
  <si>
    <t>DDMPSGWYMJZTFCUGP001V2</t>
  </si>
  <si>
    <t>8509400000</t>
  </si>
  <si>
    <t>DDMPSGWYMJZTWGW67V2</t>
  </si>
  <si>
    <t>DDNRJ17INCH4R7F1XV2</t>
  </si>
  <si>
    <t>COMMERCIAL MEAT TENDERIZER</t>
  </si>
  <si>
    <t>MSBU8068680, TXGU8904131</t>
  </si>
  <si>
    <t>Packing list=CZ-054519, Packing list=PL-054562</t>
  </si>
  <si>
    <t>DDPQQDQWGK25MI3HN001V9</t>
  </si>
  <si>
    <t>AUTO EXHAUST SILENCER SYSTEM</t>
  </si>
  <si>
    <t>8461509000</t>
  </si>
  <si>
    <t>DDPQQDQZGK25Y5HKH001V9</t>
  </si>
  <si>
    <t>ELECTRIC EXHAUST SHUT-OFF</t>
  </si>
  <si>
    <t>DDQDMDPN1091J2500001V9</t>
  </si>
  <si>
    <t>ELECTRIC STARTER MOTORS</t>
  </si>
  <si>
    <t>DDQDMDPN6494JVFWJ001V9</t>
  </si>
  <si>
    <t>DDQZJEKDD330G8CXB001V2</t>
  </si>
  <si>
    <t>ELECTRIC PAPER CUTTER</t>
  </si>
  <si>
    <t>8208900000, 8543709010</t>
  </si>
  <si>
    <t>DDQZJEKDD450843OA001V2</t>
  </si>
  <si>
    <t>TCLU8016320</t>
  </si>
  <si>
    <t>Packing list=CZ-056026</t>
  </si>
  <si>
    <t>DDQZJEKDP450D23U1001V0</t>
  </si>
  <si>
    <t>ELECTRIC PAPER CUTTER BLADE</t>
  </si>
  <si>
    <t>DDQZJSKBCKDDWXZSU001V2</t>
  </si>
  <si>
    <t>DDQZJSKDDQZJD8V0K001V2</t>
  </si>
  <si>
    <t>DDQZJSKDDQZJYNDFC001V2</t>
  </si>
  <si>
    <t>DDSCCYGHTJOZGBHYA002V2</t>
  </si>
  <si>
    <t>BRAKE BLEEDING SYSTEM</t>
  </si>
  <si>
    <t>8467298500, 8708309900</t>
  </si>
  <si>
    <t>DDSCQPJBXG00D1ME3V2</t>
  </si>
  <si>
    <t>ELECTRIC SLICER FOR FRUIT AND VEGETABLE</t>
  </si>
  <si>
    <t>DDSCQPJBXG133TSLKV2</t>
  </si>
  <si>
    <t>DDSCQPJSL5PD9UHP8002V2</t>
  </si>
  <si>
    <t>ELECTRIC VEGETABLE SLICER</t>
  </si>
  <si>
    <t>FFAU1763669, TCLU4986759, TCLU5196126, TGBU9853870</t>
  </si>
  <si>
    <t>Packing list=CZ-056444, Packing list=FR-056466, Packing list=IT-056491, Packing list=PL-056500</t>
  </si>
  <si>
    <t>DDSJBXGCWYG5A2PK5V2</t>
  </si>
  <si>
    <t>DDSJBXGCWYG5O3GV7V2</t>
  </si>
  <si>
    <t>DDSPHTZJ2S00BED1F001V0</t>
  </si>
  <si>
    <t>KAYAK STORAGE RACK, LAYER KAYAK RACK</t>
  </si>
  <si>
    <t>4421991000, 7323910000</t>
  </si>
  <si>
    <t>DDSYGZZZJ800ZJEH8001V2</t>
  </si>
  <si>
    <t>SUGARCANE JUICE MACHINE</t>
  </si>
  <si>
    <t>DDSYJ15QT220VNC94V2</t>
  </si>
  <si>
    <t>DDWKXSGDN9915V4HOV2</t>
  </si>
  <si>
    <t>PIPE INSPECTION SYSTEM</t>
  </si>
  <si>
    <t>DDWKXSGDNK740FG8GV2</t>
  </si>
  <si>
    <t>DDWKXSGDNK950S9AFV2</t>
  </si>
  <si>
    <t>FFAU2233128, TRHU6827398</t>
  </si>
  <si>
    <t>Packing list=FR-055409, Packing list=FR-055411</t>
  </si>
  <si>
    <t>DDXJJP100LBS91HL4001V9</t>
  </si>
  <si>
    <t>ELECTRIC WINDLASS</t>
  </si>
  <si>
    <t>DDYJ40MM450MM9YQOV2</t>
  </si>
  <si>
    <t>DDYM185140W48NZJGV2</t>
  </si>
  <si>
    <t>HONEY EXTRACTOR</t>
  </si>
  <si>
    <t>8421192000, 8438801000</t>
  </si>
  <si>
    <t>BEAU4243644, TEMU6360421</t>
  </si>
  <si>
    <t>list=ES-049340, list=FR-052081</t>
  </si>
  <si>
    <t>DDYMBJDDK46IMCBSIV2</t>
  </si>
  <si>
    <t>CORN TORTILLA MACHINE</t>
  </si>
  <si>
    <t>DDYMJ30BXG152A6BB001V2</t>
  </si>
  <si>
    <t>MANUAL HONEY EXTRACTOR</t>
  </si>
  <si>
    <t>8421192000</t>
  </si>
  <si>
    <t>DDYYQJDTJDDD5W1H1V9</t>
  </si>
  <si>
    <t>ELECTRIC HYDRAULIC JACK (KITS)</t>
  </si>
  <si>
    <t>DDYYQJDTJHSPT7GXRV9</t>
  </si>
  <si>
    <t>ELECTRIC HYDRAULIC JACK</t>
  </si>
  <si>
    <t>DDYYQJDTJWW1WAAB7V9</t>
  </si>
  <si>
    <t>DFBCWJKSHSMDF0P9J001V0</t>
  </si>
  <si>
    <t>DGBGZT48X24IFG11E001V2</t>
  </si>
  <si>
    <t>WORKBENCH WITH PEGBOARD</t>
  </si>
  <si>
    <t>MSCU5340294</t>
  </si>
  <si>
    <t>Packing list=CZ-055656</t>
  </si>
  <si>
    <t>DGDZGSJK0000XU1BAV2</t>
  </si>
  <si>
    <t>ELECTRIC DEEP FRYER</t>
  </si>
  <si>
    <t>8516210000, 8516609000</t>
  </si>
  <si>
    <t>DGKYTXSJBKZD33L3K001V0</t>
  </si>
  <si>
    <t>MSDU7691060, MSMU7055486</t>
  </si>
  <si>
    <t>Packing list=CZ-055657, Packing list=PL-055704</t>
  </si>
  <si>
    <t>DGNSTHC400BEDKOJOV0</t>
  </si>
  <si>
    <t>CONVERTIBLE HAND TRUCKS</t>
  </si>
  <si>
    <t>CAIU4774748, CAIU7575647, UETU6075441</t>
  </si>
  <si>
    <t>Packing list=CZ-055663, Packing list=PL-054558, Packing list=PL-054561</t>
  </si>
  <si>
    <t>DGNSTHC800BEQ4JJTV0</t>
  </si>
  <si>
    <t>DGNTHJSHY2938HSO1V2</t>
  </si>
  <si>
    <t>DGNTHJSHY2938RDO1V2</t>
  </si>
  <si>
    <t>CRSU9232786</t>
  </si>
  <si>
    <t>Packing list=CZ-055909</t>
  </si>
  <si>
    <t>DGNTMSJBJ55L13WD0001V2</t>
  </si>
  <si>
    <t>8509400000, 8509800000</t>
  </si>
  <si>
    <t>MSBU7581677, MSMU7678871</t>
  </si>
  <si>
    <t>Packing list=CZ-056445, Packing list=PL-056502</t>
  </si>
  <si>
    <t>DGNTMSJBJ55L3GA4V001V2</t>
  </si>
  <si>
    <t>DGNTQDXZSYC65J49IV0</t>
  </si>
  <si>
    <t>BENCH VICE</t>
  </si>
  <si>
    <t>BEAU4243644, FFAU2882889, TEMU6360421</t>
  </si>
  <si>
    <t>list=ES-049340, list=FR-052081, list=IT-049334</t>
  </si>
  <si>
    <t>DGNYMMJ412INPBTRJV2</t>
  </si>
  <si>
    <t>CAKE DECORATING COATING MACHINE</t>
  </si>
  <si>
    <t>DGNYMMJ412INZ7R1SV2</t>
  </si>
  <si>
    <t>MSBU7968460, MSMU7812851, MSNU5329452</t>
  </si>
  <si>
    <t>list=FR-052066, list=FR-052068, list=IT-052076</t>
  </si>
  <si>
    <t>DGNYMMJ416IN82A3BV2</t>
  </si>
  <si>
    <t>DGNYMMJ614IND9GFDV2</t>
  </si>
  <si>
    <t>MSBU7968460, MSNU5329452, TEMU7049081</t>
  </si>
  <si>
    <t>list=FR-049322, list=FR-052068, list=IT-052076</t>
  </si>
  <si>
    <t>DGNYMMJ614INWBGIOV2</t>
  </si>
  <si>
    <t>DGNZHXYTXSJPAE472001V0</t>
  </si>
  <si>
    <t>DGNZHXYTXSJPCK6Q8001V0</t>
  </si>
  <si>
    <t>MSBU5511156, MSCU5315774, MSDU7691060, MSMU7055486</t>
  </si>
  <si>
    <t>Packing list=CZ-055657, Packing list=CZ-055664, Packing list=PL-054560, Packing list=PL-055704</t>
  </si>
  <si>
    <t>DGSHS1100LBSOQD6T001V0</t>
  </si>
  <si>
    <t>DGTPQGFZX41IIURV9001V0</t>
  </si>
  <si>
    <t>DGTPQGFZX45IJE5BX001V0</t>
  </si>
  <si>
    <t>DGTPQGJTX44IPXFKS001V0</t>
  </si>
  <si>
    <t>DGTPQGJTX54IKEMR1001V0</t>
  </si>
  <si>
    <t>DGWSQJDTDG25TNS38V0</t>
  </si>
  <si>
    <t>HYDRAULIC FLOOR JACK</t>
  </si>
  <si>
    <t>DJPJYSJJ1800SY0U5V0</t>
  </si>
  <si>
    <t>CONFINED SPACE TRIPOD KIT</t>
  </si>
  <si>
    <t>DJPJYSJJ2600T2F4PV0</t>
  </si>
  <si>
    <t>TGBU8682068, TGHU6404666</t>
  </si>
  <si>
    <t>list=CZ-050497, list=IT-049336</t>
  </si>
  <si>
    <t>DJYZSBJBJ2L197T2E001V2</t>
  </si>
  <si>
    <t>COUNTERTOP BLENDERS</t>
  </si>
  <si>
    <t>DJYZSBJBJ2L1AURSF001V2</t>
  </si>
  <si>
    <t>DLADA15WH1212LBRZV0</t>
  </si>
  <si>
    <t>CABLE PROTECTOR RAMP</t>
  </si>
  <si>
    <t>DLBHQXSLX4PCSTMPKV0</t>
  </si>
  <si>
    <t>DLBHQXSLX5PCSZUIBV0</t>
  </si>
  <si>
    <t>MSCU5340294, MSDU5605756, MSDU8279268, MSMU7055486, MSNU9531841, TXGU6715988, UETU6075441</t>
  </si>
  <si>
    <t>Packing list=CZ-055656, Packing list=CZ-055660, Packing list=CZ-055665, Packing list=PL-054557, Packing list=PL-054561, Packing list=PL-055704, Packing list=PL-055706</t>
  </si>
  <si>
    <t>DLBZJHSCW6VPGDA4RV0</t>
  </si>
  <si>
    <t>GARDEN SEEDER</t>
  </si>
  <si>
    <t>DLDSDJPHHS1637CH1001V0</t>
  </si>
  <si>
    <t>8425390000</t>
  </si>
  <si>
    <t>DLDSDJPHHS35SW7CR001V0</t>
  </si>
  <si>
    <t>DLDSDJPHS600UWQVA001V0</t>
  </si>
  <si>
    <t>DLDSDJPYS350V547I001V0</t>
  </si>
  <si>
    <t>MEDU7093501, MSNU8925183, TGBU4628768</t>
  </si>
  <si>
    <t>Packing list=CZ-055903, Packing list=PL-054770, Packing list=PL-054773</t>
  </si>
  <si>
    <t>DLJD10INCHGGFDA2D001V0</t>
  </si>
  <si>
    <t>CABLE CUTTER</t>
  </si>
  <si>
    <t>8213000000</t>
  </si>
  <si>
    <t>DLJD10INCHJLG8RRK001V0</t>
  </si>
  <si>
    <t>8203200000, 8213000000</t>
  </si>
  <si>
    <t>DRYU9392353, GLDU7246065</t>
  </si>
  <si>
    <t>Packing list=CZ-055906, Packing list=PL-054774</t>
  </si>
  <si>
    <t>DLJD11INCHJLHM8JL001V0</t>
  </si>
  <si>
    <t>8203200000</t>
  </si>
  <si>
    <t>DRYU9392353, MEDU8298620</t>
  </si>
  <si>
    <t>Packing list=CZ-055902, Packing list=PL-054774</t>
  </si>
  <si>
    <t>DLKZD21INCH5OPRHAV0</t>
  </si>
  <si>
    <t>BUNGEE STRAPS</t>
  </si>
  <si>
    <t>DLKZD31INCH5OSWMJV0</t>
  </si>
  <si>
    <t>DLNTZLQYYS30LDVQVV2</t>
  </si>
  <si>
    <t>ELECTROTHERMAL STILL</t>
  </si>
  <si>
    <t>MSBU8204493, MSDU5039896</t>
  </si>
  <si>
    <t>Packing list=FR-055405, Packing list=IT-055413</t>
  </si>
  <si>
    <t>DLNTZLQYYS50LEHB5V2</t>
  </si>
  <si>
    <t>MSDU5039896, MSNU9759770</t>
  </si>
  <si>
    <t>Packing list=FR-055406, Packing list=IT-055413</t>
  </si>
  <si>
    <t>DLPBCHJG20002TY3E001V0</t>
  </si>
  <si>
    <t>PLATFORM TRUCK WITH CAGE</t>
  </si>
  <si>
    <t>DLSBZ12.5MMX61M01V0</t>
  </si>
  <si>
    <t>POLYESTER CABLE</t>
  </si>
  <si>
    <t>5402330000</t>
  </si>
  <si>
    <t>DRYU9392353, TGHU9810798</t>
  </si>
  <si>
    <t>Packing list=CZ-055905, Packing list=PL-054774</t>
  </si>
  <si>
    <t>DLSBZ16MMX61M0001V0</t>
  </si>
  <si>
    <t>POLYESTER ROPES</t>
  </si>
  <si>
    <t>5607509098</t>
  </si>
  <si>
    <t>DLSHWYSPMMZ3N1PEVV0</t>
  </si>
  <si>
    <t>OUTDOOR PRIVACY SCREENS</t>
  </si>
  <si>
    <t>DLSPHTZJ3SDM94B2I001V0</t>
  </si>
  <si>
    <t>LAYER KAYAK RACK</t>
  </si>
  <si>
    <t>CSNU8950231</t>
  </si>
  <si>
    <t>list=FR-049320</t>
  </si>
  <si>
    <t>DLTDGZDLRXSBMZ95X002V9</t>
  </si>
  <si>
    <t>TOUCHLESS SINK FAUCETS</t>
  </si>
  <si>
    <t>DLTDLWSBZDHT04H14002V9</t>
  </si>
  <si>
    <t>DLTLRWSBZDBBTK5OM002V9</t>
  </si>
  <si>
    <t>DLTLRWSBZDHTH061C002V9</t>
  </si>
  <si>
    <t>DLTLRXSBZDYTKPRAP002V9</t>
  </si>
  <si>
    <t>DLTZQHL4400IX54JIV0</t>
  </si>
  <si>
    <t>PULLEY HOISTS</t>
  </si>
  <si>
    <t>DLYJQPJDLJTLDJBJTV0</t>
  </si>
  <si>
    <t>HEAVY-DUTY CABLE CRIMPER</t>
  </si>
  <si>
    <t>DLYJQTLDLAWG16PK0V0</t>
  </si>
  <si>
    <t>HYDRAULIC CRIMPING PLIERS</t>
  </si>
  <si>
    <t>8467890000</t>
  </si>
  <si>
    <t>DLZB120YCBS1OB0GB001V0</t>
  </si>
  <si>
    <t>TABLE COVER</t>
  </si>
  <si>
    <t>6304910000</t>
  </si>
  <si>
    <t>DLZB120YCBS2JJVKT001V0</t>
  </si>
  <si>
    <t>DLZB120YCBS60CX0G001V0</t>
  </si>
  <si>
    <t>DLZB120YCHS6CPU1U001V0</t>
  </si>
  <si>
    <t>DLZB132INCHBQ9NPD001V0</t>
  </si>
  <si>
    <t>DLZB60102INC2UDEF001V0</t>
  </si>
  <si>
    <t>DLZB70120INC1T7Y0001V0</t>
  </si>
  <si>
    <t>DLZB70120INCVR5YI001V0</t>
  </si>
  <si>
    <t>DLZB90132INCOKU2C001V0</t>
  </si>
  <si>
    <t>DLZB90YCBS10H4KP5001V0</t>
  </si>
  <si>
    <t>DLZPDLZP1001WHCFI001V0</t>
  </si>
  <si>
    <t>GROW TENT KIT</t>
  </si>
  <si>
    <t>DLZPDLZP1201A4M9I001V0</t>
  </si>
  <si>
    <t>DLZPDLZP1206UK1OH001V0</t>
  </si>
  <si>
    <t>DLZQGJJCS50AYSV61001V2</t>
  </si>
  <si>
    <t>PLASMA CUTTER MACHINE</t>
  </si>
  <si>
    <t>DLZQGJJCS60AMRHB5001V8</t>
  </si>
  <si>
    <t>DLZZ8FT6PCSBZA0UW001V0</t>
  </si>
  <si>
    <t>POLYESTER TABLE CLOTH</t>
  </si>
  <si>
    <t>DM-ABSZSJ00000001V0</t>
  </si>
  <si>
    <t>DMBXXLS3139C2FQ89V9</t>
  </si>
  <si>
    <t>CMAU6174540, FFAU2254455, FSCU8031100, UETU7729439</t>
  </si>
  <si>
    <t>list=CZ-050498, list=FR-052065, list=IT-049338, list=IT-052075</t>
  </si>
  <si>
    <t>DMBXXLS3139CDLYSIV9</t>
  </si>
  <si>
    <t>CAIU4763614, CMAU6174540, FFAU2254455, FSCU8031100, UETU7729439</t>
  </si>
  <si>
    <t>list=CZ-050498, list=FR-052062, list=FR-052065, list=IT-049338, list=IT-052075</t>
  </si>
  <si>
    <t>DMBXXLS452CUYI3X5V9</t>
  </si>
  <si>
    <t>, TGBU8682068</t>
  </si>
  <si>
    <t>list=ES-049341, list=IT-049336</t>
  </si>
  <si>
    <t>DMCDEPE600SQTL6G6001V0</t>
  </si>
  <si>
    <t>UNDERLAYMENT</t>
  </si>
  <si>
    <t>3921110090</t>
  </si>
  <si>
    <t>DMCDIXPE200S0604T001V0</t>
  </si>
  <si>
    <t>DMCDLM30MMHS1KUN7001V0</t>
  </si>
  <si>
    <t>DMCDLM30MMHSWPGEH001V0</t>
  </si>
  <si>
    <t>DMCDLM30MMHSY9Q12001V0</t>
  </si>
  <si>
    <t>DMKFCZDMKBTMFH5K1001V0</t>
  </si>
  <si>
    <t>ANGLE GRINDER DUST SHROUD</t>
  </si>
  <si>
    <t>8467990090</t>
  </si>
  <si>
    <t>DFSU6555268, UETU7550736</t>
  </si>
  <si>
    <t>Packing list=CZ-055659, Packing list=PL-055705</t>
  </si>
  <si>
    <t>DMMBSCJM16X2HCHIDV0</t>
  </si>
  <si>
    <t>CABINET ACCESS DOOR</t>
  </si>
  <si>
    <t>DMPF1JZ66FTYYDKKS001V0</t>
  </si>
  <si>
    <t>WELDING CURTAIN</t>
  </si>
  <si>
    <t>DMPF1JZ68FTYFQJGS001V0</t>
  </si>
  <si>
    <t>DMPF2JZ68FTWX6VDE001V0</t>
  </si>
  <si>
    <t>DMSHJPF6X6YC3B64MV0</t>
  </si>
  <si>
    <t>3925908000</t>
  </si>
  <si>
    <t>DMSHJPF6X8YCCZQN5V0</t>
  </si>
  <si>
    <t>DMSHJPF6X8YCRA6FOV0</t>
  </si>
  <si>
    <t>DPMJLSFX4PCSN4XCIV0</t>
  </si>
  <si>
    <t>CONCRETE TEXTURING SKIN</t>
  </si>
  <si>
    <t>MSMU7674578, TCNU7822627</t>
  </si>
  <si>
    <t>Packing list=CZ-056029, Packing list=PL-056044</t>
  </si>
  <si>
    <t>DPPJ3INCHSD0Y8NQ5001V0</t>
  </si>
  <si>
    <t>CUTTING MAT</t>
  </si>
  <si>
    <t>8441901000</t>
  </si>
  <si>
    <t>DPPJ6INCHSD0HCAL9001V0</t>
  </si>
  <si>
    <t>DPPJ9INCHSD04GEA8001V0</t>
  </si>
  <si>
    <t>DPSGJZHYPHBX7MQ9F001V2</t>
  </si>
  <si>
    <t>BELT DISC SANDER</t>
  </si>
  <si>
    <t>8464208000, 8465930000</t>
  </si>
  <si>
    <t>CAIU8407170, MSMU7674578, TCLU5729903</t>
  </si>
  <si>
    <t>Packing list=CZ-056029, Packing list=FR-054888, Packing list=PL-054906</t>
  </si>
  <si>
    <t>DPSGJZHYPWBX87XUH001V2</t>
  </si>
  <si>
    <t>8464208000</t>
  </si>
  <si>
    <t>DPXDYSQ8YCSZTSBN5V9</t>
  </si>
  <si>
    <t>CEILING SPEAKER</t>
  </si>
  <si>
    <t>8512301000</t>
  </si>
  <si>
    <t>DQW129YC0000YT8NIV0</t>
  </si>
  <si>
    <t>SPORTS BARRIER NET</t>
  </si>
  <si>
    <t>DQW77YC00000P85CUV0</t>
  </si>
  <si>
    <t>DQX304BXG12128001V0</t>
  </si>
  <si>
    <t>DQXFSBLG30X25X141V0</t>
  </si>
  <si>
    <t>DQXFSBLG40X30X201V0</t>
  </si>
  <si>
    <t>DQXFSBLG50X40X201V0</t>
  </si>
  <si>
    <t>DQXFSBLG60X50X231V0</t>
  </si>
  <si>
    <t>DQXJSTCFS20X20X15V0</t>
  </si>
  <si>
    <t>DQXJSTCFS25X20X15V0</t>
  </si>
  <si>
    <t>MSNU8441810, MSNU9783205, TCLU8016320</t>
  </si>
  <si>
    <t>Packing list=CZ-056026, Packing list=FR-054886, Packing list=PL-054904</t>
  </si>
  <si>
    <t>DQXJSTCFS30X20X15V0</t>
  </si>
  <si>
    <t>DQXJSTCFS40X30X20V0</t>
  </si>
  <si>
    <t>DQXJSTCFS40X40X15V0</t>
  </si>
  <si>
    <t>DQXJSTCFS40X40X20V0</t>
  </si>
  <si>
    <t>DQXJSTCFS50X30X25V0</t>
  </si>
  <si>
    <t>DQXJSTCFS50X40X15V0</t>
  </si>
  <si>
    <t>DQXJSTCFS50X40X20V0</t>
  </si>
  <si>
    <t>DQXJSTCFS50X40X25V0</t>
  </si>
  <si>
    <t>DQXJSTCFS50X50X15V0</t>
  </si>
  <si>
    <t>DQXJSTCFS60X40X25V0</t>
  </si>
  <si>
    <t>DQXJSTCFS60X60X20V0</t>
  </si>
  <si>
    <t>DRDCDHJ030MMIXNR5V2</t>
  </si>
  <si>
    <t>MEDU7133728, MSBU7581677, MSMU7678871, TGBU9853870</t>
  </si>
  <si>
    <t>Packing list=CZ-056445, Packing list=FR-056467, Packing list=IT-056491, Packing list=PL-056502</t>
  </si>
  <si>
    <t>DRFSQBXG10HL1S697V0</t>
  </si>
  <si>
    <t>FLOWMETER TEMPERATURE CONTROLLED WATER COLLECTOR</t>
  </si>
  <si>
    <t>DRFSQBXG5HLGXT75CV0</t>
  </si>
  <si>
    <t>DRFSQBXG6HLG3IS1AV0</t>
  </si>
  <si>
    <t>DRFSQBXG7HLG5ODPQV0</t>
  </si>
  <si>
    <t>DRJLCGTCGG1K4OK71001V2</t>
  </si>
  <si>
    <t>ELECTRIC MELTING FURNACE</t>
  </si>
  <si>
    <t>DRJLCGTCGG3KX1VHA001V2</t>
  </si>
  <si>
    <t>DRJLCGTCGGHS05CHA001V2</t>
  </si>
  <si>
    <t>DRJLCGTCGGHS9D2TA001V2</t>
  </si>
  <si>
    <t>DRJLCGTCGGHSHBIK8001V2</t>
  </si>
  <si>
    <t>DRJLCGTCGGHSZZPJV001V2</t>
  </si>
  <si>
    <t>DSBDGWL12PCSTCUJ7001V0</t>
  </si>
  <si>
    <t>SHOPPING BASKET</t>
  </si>
  <si>
    <t>DRYU9392353</t>
  </si>
  <si>
    <t>Packing list=PL-054774</t>
  </si>
  <si>
    <t>DSBDGWL20PCSQD1UT001V0</t>
  </si>
  <si>
    <t>DSBDGWLSL21LM6U8Q001V0</t>
  </si>
  <si>
    <t>CRSU9232786, MSMU7575575</t>
  </si>
  <si>
    <t>Packing list=CZ-055909, Packing list=PL-054771</t>
  </si>
  <si>
    <t>DSCDGZT100CMAR1OM001V0</t>
  </si>
  <si>
    <t>FREE STANDING STAINLESS STEEL SINK</t>
  </si>
  <si>
    <t>CSNU5799944, FFAU2254455, SELU4270474, TGHU9193042</t>
  </si>
  <si>
    <t>list=ES-049339, list=FR-049321, list=FR-052064, list=IT-052075</t>
  </si>
  <si>
    <t>DSCDGZT100CMF4TIC001V0</t>
  </si>
  <si>
    <t>DSCDGZT100CMV3J56001V0</t>
  </si>
  <si>
    <t>CSNU5799944, SELU4270474, TGHU9193042</t>
  </si>
  <si>
    <t>list=ES-049339, list=FR-049321, list=FR-052064</t>
  </si>
  <si>
    <t>DSCDGZT100CMVXEJ1001V0</t>
  </si>
  <si>
    <t>CAIU4763614, CSNU5799944, FFAU2254455, SELU4270474</t>
  </si>
  <si>
    <t>list=ES-049339, list=FR-049321, list=FR-052062, list=IT-052075</t>
  </si>
  <si>
    <t>DSCDGZT120CM131GM001V0</t>
  </si>
  <si>
    <t>FFAU2254455, TGHU9193042</t>
  </si>
  <si>
    <t>list=FR-052064, list=IT-052075</t>
  </si>
  <si>
    <t>DSCDGZT120CMLOECU001V0</t>
  </si>
  <si>
    <t>DSCDGZT120CMN8UVM001V0</t>
  </si>
  <si>
    <t>DSCDGZT120CMNFORS001V0</t>
  </si>
  <si>
    <t>CAIU4763614, CSNU5799944, FFAU2254455</t>
  </si>
  <si>
    <t>list=FR-049321, list=FR-052062, list=IT-052075</t>
  </si>
  <si>
    <t>DSCDGZT120CMXH2J6001V0</t>
  </si>
  <si>
    <t>DSCDGZTDCWP22FYT7V0</t>
  </si>
  <si>
    <t>CAIU4763614, FFAU2254455, MSMU7812851, UETU7729439</t>
  </si>
  <si>
    <t>list=FR-052062, list=FR-052065, list=FR-052066, list=IT-052075</t>
  </si>
  <si>
    <t>DSCWJLYG65INPFH5N001V0</t>
  </si>
  <si>
    <t>CYLINDER STORAGE CABINET</t>
  </si>
  <si>
    <t>DSCWJLYG7025VG2YP001V0</t>
  </si>
  <si>
    <t>CMAU9767404, TGBU8682068</t>
  </si>
  <si>
    <t>list=CZ-050502, list=IT-049336</t>
  </si>
  <si>
    <t>DSD15LH4L220VN0XGV2</t>
  </si>
  <si>
    <t>BMOU4422599, MEDU7093501, TGBU4628768</t>
  </si>
  <si>
    <t>Packing list=CZ-055903, Packing list=CZ-055904, Packing list=PL-054773</t>
  </si>
  <si>
    <t>DSDW1LH4L220VKTNFV2</t>
  </si>
  <si>
    <t>WATER DISTILLER</t>
  </si>
  <si>
    <t>DSDW1LH4L220VZC7RV2</t>
  </si>
  <si>
    <t>DSJLSLSXWS15D8FTZV0</t>
  </si>
  <si>
    <t>CLIMBING ROPE</t>
  </si>
  <si>
    <t>5607501110</t>
  </si>
  <si>
    <t>FFAU2254455</t>
  </si>
  <si>
    <t>list=IT-052075</t>
  </si>
  <si>
    <t>DSJLSLSXWS20TCLGSV0</t>
  </si>
  <si>
    <t>DSLXJ50ML000NL0Y3001V2</t>
  </si>
  <si>
    <t>CENTRIFUGE</t>
  </si>
  <si>
    <t>MSDU6523858, MSMU5573763, TCNU7119933</t>
  </si>
  <si>
    <t>Packing list=CZ-056030, Packing list=FR-054890, Packing list=PL-056045</t>
  </si>
  <si>
    <t>DSNHXCD300BYRE1RIV0</t>
  </si>
  <si>
    <t>MULTI-FUNCTION TOOL STOOL</t>
  </si>
  <si>
    <t>9401200000</t>
  </si>
  <si>
    <t>DSYCGLBOZDS40FXPD001V2</t>
  </si>
  <si>
    <t>FIXED SPEED POOL PUMP</t>
  </si>
  <si>
    <t>8413708990</t>
  </si>
  <si>
    <t>DSYCGLBOZDS5WLI6F001V2</t>
  </si>
  <si>
    <t>DSYCLS25MZJ1OQVD7001V0</t>
  </si>
  <si>
    <t>ABOVE GROUND FISH POND</t>
  </si>
  <si>
    <t>5607509090</t>
  </si>
  <si>
    <t>CSNU5799944, FFAU2882889</t>
  </si>
  <si>
    <t>list=FR-049321, list=IT-049334</t>
  </si>
  <si>
    <t>DSYCLS2MZJ1MU7YAG001V0</t>
  </si>
  <si>
    <t>DSYJC2L000006B04P001V0</t>
  </si>
  <si>
    <t>FISHING CART</t>
  </si>
  <si>
    <t>DTQHTQXNLXH4SBV0V001V0</t>
  </si>
  <si>
    <t>VIOLIN CASE</t>
  </si>
  <si>
    <t>DTXFCCQTJZXBLCKLWV0</t>
  </si>
  <si>
    <t>CYCLONE DUST SEPARATOR KIT</t>
  </si>
  <si>
    <t>3926909710</t>
  </si>
  <si>
    <t>DVBITWOLFZV18ZMZUV0</t>
  </si>
  <si>
    <t>FORGE TONGS</t>
  </si>
  <si>
    <t>DWDJQFNJH16JRL3FKV0</t>
  </si>
  <si>
    <t>BREWING KETTLE</t>
  </si>
  <si>
    <t>7310299090</t>
  </si>
  <si>
    <t>DWDJQFNJH5JLT2KMJV0</t>
  </si>
  <si>
    <t>DXCWJBS2MN5CEB8UK001V0</t>
  </si>
  <si>
    <t>METAL LOCKER STORAGE CABINET</t>
  </si>
  <si>
    <t>9403105800</t>
  </si>
  <si>
    <t>DXCWJHS2MN5CKEUWH001V0</t>
  </si>
  <si>
    <t>LARGE LOCKERS</t>
  </si>
  <si>
    <t>DXCWJHS2MN5CLRQ78001V0</t>
  </si>
  <si>
    <t>DXCWJHS2MN5G109PR001V0</t>
  </si>
  <si>
    <t>DXDHCS118YC14NBDC001V2</t>
  </si>
  <si>
    <t>SMALL DEMOLITION JACK HAMMER</t>
  </si>
  <si>
    <t>DXDYZHQSY2205XVNZ001V7</t>
  </si>
  <si>
    <t>UNIDIRECTIONAL VOLTAGE CONVERTER</t>
  </si>
  <si>
    <t>8504320090</t>
  </si>
  <si>
    <t>DXGJSPZ40X6IU4B20001V0</t>
  </si>
  <si>
    <t>METAL EDGING</t>
  </si>
  <si>
    <t>7314490000</t>
  </si>
  <si>
    <t>DXGJSPZ4PCS4VHP3PV0</t>
  </si>
  <si>
    <t>GALVANIZED STEEL METAL EDGING</t>
  </si>
  <si>
    <t>7326200040, 7326909890</t>
  </si>
  <si>
    <t>TGHU6404666, TGHU9193042</t>
  </si>
  <si>
    <t>list=CZ-050497, list=FR-052064</t>
  </si>
  <si>
    <t>DXGJSPZ5PCS334RZOV0</t>
  </si>
  <si>
    <t>MSDU5652681, TGHU6404666</t>
  </si>
  <si>
    <t>list=CZ-050497, list=FR-052067</t>
  </si>
  <si>
    <t>DXGJSPZ5PCS3BLAFEV0</t>
  </si>
  <si>
    <t>DXGJSPZ5PCS3IHZTKV0</t>
  </si>
  <si>
    <t>DXGJSPZ5PCS3W4HOLV0</t>
  </si>
  <si>
    <t>DXGJSPZ6PCS4LAZXXV0</t>
  </si>
  <si>
    <t>TGHU6404666</t>
  </si>
  <si>
    <t>list=CZ-050497</t>
  </si>
  <si>
    <t>DXGSWL055MM1NCQBY001V0</t>
  </si>
  <si>
    <t>GALVANIZED STEEL WIRE FENCE</t>
  </si>
  <si>
    <t>7419801000</t>
  </si>
  <si>
    <t>DXGSWL05MM04M5YLO001V0</t>
  </si>
  <si>
    <t>DXGSWL08MM12J7KXH001V0</t>
  </si>
  <si>
    <t>DXGSWL19GA60373I5001V0</t>
  </si>
  <si>
    <t>DXGSWL19GA60AB0ZO001V0</t>
  </si>
  <si>
    <t>DXGSWL19GA72AZE5Z001V0</t>
  </si>
  <si>
    <t>DXGSWL19GA72YPW0Y001V0</t>
  </si>
  <si>
    <t>DXGSWL24IN10QAYFCV0</t>
  </si>
  <si>
    <t>7408110000</t>
  </si>
  <si>
    <t>DXGSWL24IN25CF4GSV0</t>
  </si>
  <si>
    <t>DXGSWL24IN50VEYSJV0</t>
  </si>
  <si>
    <t>DXGSWL36IN10HWQKBV0</t>
  </si>
  <si>
    <t>DXGSWL36IN10L6KS7V0</t>
  </si>
  <si>
    <t>DXGSWL36IN50RFBR9V0</t>
  </si>
  <si>
    <t>DXGSWL36IN50YISK6V0</t>
  </si>
  <si>
    <t>DXGSWL48IN105VTQ7V0</t>
  </si>
  <si>
    <t>DXGSWL48IN10S79Y4V0</t>
  </si>
  <si>
    <t>DXJCWLW50IN1GSPZF001V0</t>
  </si>
  <si>
    <t>ELECTRIC FENCE NETTING</t>
  </si>
  <si>
    <t>DXSDDTTSQZJHVNQ7ZV0</t>
  </si>
  <si>
    <t>8441107000</t>
  </si>
  <si>
    <t>MSCU5085389, MSMU7678871, MSNU9759770, TCNU1401533, UETU7801282</t>
  </si>
  <si>
    <t>Packing list=CZ-056445, Packing list=FR-055406, Packing list=IT-056489, Packing list=IT-056490, Packing list=PL-055436</t>
  </si>
  <si>
    <t>DXYCTLTSFSSLMT8OVV0</t>
  </si>
  <si>
    <t>POOL LADDERS</t>
  </si>
  <si>
    <t>DXYCTLTSFSSLS1J0IV0</t>
  </si>
  <si>
    <t>DXZSDGNTQ55IFO0S7V0</t>
  </si>
  <si>
    <t>DXZSDGNTQ5INLZ20LV0</t>
  </si>
  <si>
    <t>DXZSDGNTQ8INTFIJJV0</t>
  </si>
  <si>
    <t>FFAU2882889, MSBU7968460, UETU7729439</t>
  </si>
  <si>
    <t>list=FR-052065, list=IT-049334, list=IT-052076</t>
  </si>
  <si>
    <t>DYTYNCDKZQNZL3OA4V9</t>
  </si>
  <si>
    <t>SOLAR CHARGE CONTROLLER</t>
  </si>
  <si>
    <t>8537101010</t>
  </si>
  <si>
    <t>DYYBDBL3200W2444D002V2</t>
  </si>
  <si>
    <t>COMMERCIAL SANDWICH PANINI PRESS GRILL</t>
  </si>
  <si>
    <t>DYYBDBL3200WHO525002V2</t>
  </si>
  <si>
    <t>DYYBDBL3200WTEE0Z002V2</t>
  </si>
  <si>
    <t>DYYBDBL3200WZG84K002V2</t>
  </si>
  <si>
    <t>DYZHQ110V230VD806V2</t>
  </si>
  <si>
    <t>VOLTAGE CONVERTERS</t>
  </si>
  <si>
    <t>DYZHQ110V230VQLPQV2</t>
  </si>
  <si>
    <t>DYZHQ110V230VX4UMV2</t>
  </si>
  <si>
    <t>DZDL20FT3INCF7LF5001V0</t>
  </si>
  <si>
    <t>TOW STRAP</t>
  </si>
  <si>
    <t>DZDTZDPPQZ12A94CKV0</t>
  </si>
  <si>
    <t>TABLE TENNIS TABLE</t>
  </si>
  <si>
    <t>DZFBB135INCHH242X001V9</t>
  </si>
  <si>
    <t>ELECTRONIC DARTBOARD</t>
  </si>
  <si>
    <t>MSBU7581677, MSMU8074217, TCLU5196126</t>
  </si>
  <si>
    <t>Packing list=CZ-056444, Packing list=IT-056493, Packing list=PL-056502</t>
  </si>
  <si>
    <t>DZFTSLZHJ3KWV0J5VV2</t>
  </si>
  <si>
    <t>, BEAU4243644</t>
  </si>
  <si>
    <t>list=ES-049341, list=FR-052081</t>
  </si>
  <si>
    <t>DZGZQNQJDHS6FM4X3V0</t>
  </si>
  <si>
    <t>AIR JACK</t>
  </si>
  <si>
    <t>DZNL3IN30FTC2VVOJV0</t>
  </si>
  <si>
    <t>DZQTZSZ107MMLZFXA001V0</t>
  </si>
  <si>
    <t>BOCCE BALL SET</t>
  </si>
  <si>
    <t>DZSCYMKZQMER2IOPMV9</t>
  </si>
  <si>
    <t>TCLU5196126</t>
  </si>
  <si>
    <t>Packing list=CZ-056444</t>
  </si>
  <si>
    <t>DZSGETWJXXZSCJ5YS001V9</t>
  </si>
  <si>
    <t>LEARNING TABLE</t>
  </si>
  <si>
    <t>9503009990</t>
  </si>
  <si>
    <t>DZYTS12VLN10P459E001V9</t>
  </si>
  <si>
    <t>SEMI-TRUCK PARKING AIR CONDITIONER</t>
  </si>
  <si>
    <t>8415200090</t>
  </si>
  <si>
    <t>ECCYJCS10INCBO9MA002V0</t>
  </si>
  <si>
    <t>TWO STROKE CHAINSAW</t>
  </si>
  <si>
    <t>ECDCHJTC265LB8FATV0</t>
  </si>
  <si>
    <t>WELDING CART</t>
  </si>
  <si>
    <t>ECSTHJTC265LBXFETV0</t>
  </si>
  <si>
    <t>ETLPJFXBSWJBCWB9P001V2</t>
  </si>
  <si>
    <t>POTTERY WHEEL FOR KIDS</t>
  </si>
  <si>
    <t>8479899790</t>
  </si>
  <si>
    <t>ETLPJFXFSWJBBPLIL001V2</t>
  </si>
  <si>
    <t>ETLPJFXLSWJBV8R4E001V2</t>
  </si>
  <si>
    <t>ETLPJYXFSWJBLVJCA001V2</t>
  </si>
  <si>
    <t>ETLPJYXLSWJBH5WNX001V2</t>
  </si>
  <si>
    <t>ETQCMAMKWTLBZAHUK001V9</t>
  </si>
  <si>
    <t>HORSE RIDING TOY</t>
  </si>
  <si>
    <t>9503001000</t>
  </si>
  <si>
    <t>ETQCMGMKWTLB2Q67Z001V9</t>
  </si>
  <si>
    <t>UNICORN RIDING TOY</t>
  </si>
  <si>
    <t>BMOU4089214, BMOU4422599, DRYU9392353, TGHU9726809</t>
  </si>
  <si>
    <t>Packing list=CZ-055904, Packing list=CZ-055907, Packing list=FR-054747, Packing list=PL-054774</t>
  </si>
  <si>
    <t>ETQCMGMKWTLBEPBV8001V9</t>
  </si>
  <si>
    <t>ETQCMGMKWTLBG460Z001V9</t>
  </si>
  <si>
    <t>ETQCMGMKWTLBV35H0001V9</t>
  </si>
  <si>
    <t>ETTY282634IN7H1EZ001V0</t>
  </si>
  <si>
    <t>KIDS' RECLINERS</t>
  </si>
  <si>
    <t>9401610000</t>
  </si>
  <si>
    <t>ETTY282634INOOTW3001V0</t>
  </si>
  <si>
    <t>ETTYPGKFHS21PI6YW001V0</t>
  </si>
  <si>
    <t>ETTYPGKZS252XFA0S001V0</t>
  </si>
  <si>
    <t>ETWSDCJXBZCZU4JG0V0</t>
  </si>
  <si>
    <t>STACKABLE KIDDIE COT</t>
  </si>
  <si>
    <t>ETWSDCJXYECZHRPYYV0</t>
  </si>
  <si>
    <t>ETZYHSDXKJS61YH11001V0</t>
  </si>
  <si>
    <t>KIDS SWIVEL CHAIR</t>
  </si>
  <si>
    <t>ETZYHSHBKJS6LP3GY001V0</t>
  </si>
  <si>
    <t>ETZYLSDXKJS6T9QVH001V0</t>
  </si>
  <si>
    <t>ETZYLSGTKJS604MIZ001V0</t>
  </si>
  <si>
    <t>MSCU4594885, MSDU6211947</t>
  </si>
  <si>
    <t>Packing list=FR-054885, Packing list=PL-054902</t>
  </si>
  <si>
    <t>ETZYLSGTKJS668NMK001V0</t>
  </si>
  <si>
    <t>ETZYLSHBKJS6HCGDE001V0</t>
  </si>
  <si>
    <t>EVAQXJSHSDZXE41JKV0</t>
  </si>
  <si>
    <t>INTERLOCKING RUBBER MATS</t>
  </si>
  <si>
    <t>MSDU6523858, TCNU7119933, TCNU7822627</t>
  </si>
  <si>
    <t>Packing list=CZ-056030, Packing list=FR-054890, Packing list=PL-056044</t>
  </si>
  <si>
    <t>EVAQXJSHSDZXO5N9CV0</t>
  </si>
  <si>
    <t>MSMU6966528, MSMU7674578, TCNU7822627</t>
  </si>
  <si>
    <t>Packing list=CZ-056029, Packing list=FR-054889, Packing list=PL-056044</t>
  </si>
  <si>
    <t>9506.91.9000</t>
  </si>
  <si>
    <t>EVAQXJSHSDZXOXDELV0</t>
  </si>
  <si>
    <t>MSDU6523858, TCNU7822627</t>
  </si>
  <si>
    <t>Packing list=FR-054890, Packing list=PL-056044</t>
  </si>
  <si>
    <t>EVAQXJSHSDZXW5O14V0</t>
  </si>
  <si>
    <t>BMOU4422599, MEDU7093501, MEDU8298620</t>
  </si>
  <si>
    <t>Packing list=CZ-055902, Packing list=CZ-055904, Packing list=PL-054773</t>
  </si>
  <si>
    <t>EYHTJGDKJLDSO30ZN001V2</t>
  </si>
  <si>
    <t>CO² LASER ENGRAVER</t>
  </si>
  <si>
    <t>8456119000</t>
  </si>
  <si>
    <t>EYHTJGDKJTMS2IMFX001V2</t>
  </si>
  <si>
    <t>CMAU6174540, FSCU8031100</t>
  </si>
  <si>
    <t>list=CZ-050498, list=IT-049338</t>
  </si>
  <si>
    <t>F12TPAPUNBR70Y6LPV0</t>
  </si>
  <si>
    <t>HYDRAULIC COMBINED MULTIFUNCTIONAL JACK</t>
  </si>
  <si>
    <t>F12V14HP16GPME3SQV9</t>
  </si>
  <si>
    <t>FUEL TRANSFER PUMP(PACKAGE）</t>
  </si>
  <si>
    <t>8413110000</t>
  </si>
  <si>
    <t>FBSJGDKJ20W3FUFFH001V2</t>
  </si>
  <si>
    <t>TWO AXIS DIODE LASER ENGRAVING MACHINE</t>
  </si>
  <si>
    <t>MSCU5085389, MSMU8087533</t>
  </si>
  <si>
    <t>Packing list=IT-056490, Packing list=PL-056501</t>
  </si>
  <si>
    <t>FBTMSZBJBXG4WO4T1V2</t>
  </si>
  <si>
    <t>ICE MAKER</t>
  </si>
  <si>
    <t>FBZXZP4MMGBZBDUIUV0</t>
  </si>
  <si>
    <t>YURT TENT</t>
  </si>
  <si>
    <t>FBZXZP5MMGBZ364SNV0</t>
  </si>
  <si>
    <t>FBZXZP5MMXTZ97PYKV0</t>
  </si>
  <si>
    <t>FBZXZP7MMGBZ9SSOBV0</t>
  </si>
  <si>
    <t>FCCDQ12V20A05C7H3001V2</t>
  </si>
  <si>
    <t>LIFEPO4 BATTERY CHARGER</t>
  </si>
  <si>
    <t>8544429010</t>
  </si>
  <si>
    <t>FCCDQ36V18A0H25XP001V2</t>
  </si>
  <si>
    <t>FCPZ410FT10FTZJP1V0</t>
  </si>
  <si>
    <t>DUST BARRIER SYSTEM</t>
  </si>
  <si>
    <t>CBHU9175188, FFAU2882889</t>
  </si>
  <si>
    <t>list=IT-049334, list=IT-049337</t>
  </si>
  <si>
    <t>FCPZYCY410FTSUBC3V0</t>
  </si>
  <si>
    <t>BEAU4243644, SELU4270474</t>
  </si>
  <si>
    <t>list=ES-049339, list=FR-052081</t>
  </si>
  <si>
    <t>FCPZYCY410FTV2QEBV0</t>
  </si>
  <si>
    <t>FCWDQJD2JZ657FLGX001V0</t>
  </si>
  <si>
    <t>RV SCISSOR JACKS</t>
  </si>
  <si>
    <t>MEDU7133728, MSBU7581677, TCLU5196126, TGBU9853870</t>
  </si>
  <si>
    <t>Packing list=CZ-056444, Packing list=FR-056467, Packing list=IT-056491, Packing list=PL-056502</t>
  </si>
  <si>
    <t>FCWDQJD4JZ90YW5IB001V0</t>
  </si>
  <si>
    <t>FDCDJDQTJMMYY8MGNV0</t>
  </si>
  <si>
    <t>VOLTAGE SENSITIVE RELAY</t>
  </si>
  <si>
    <t>8512909000</t>
  </si>
  <si>
    <t>FDCDJDQTJMMYYLATHV0</t>
  </si>
  <si>
    <t>FDL2LHYTC2JLVT7G3V0</t>
  </si>
  <si>
    <t>DUAL WHEEL WHEELBARROW CART</t>
  </si>
  <si>
    <t>FDSDL58IN100OPWKNV0</t>
  </si>
  <si>
    <t>DRAIN CLEANING CABLE</t>
  </si>
  <si>
    <t>FDSDL58IN66YN2IJNV0</t>
  </si>
  <si>
    <t>DRAIN CLEANING CABLE, DRAIN CLEANING MACHINE SPRING</t>
  </si>
  <si>
    <t>CSNU8543508, FFAU2882889, TEMU6360421, TGBU8682068</t>
  </si>
  <si>
    <t>list=ES-049340, list=FR-049318, list=IT-049334, list=IT-049336</t>
  </si>
  <si>
    <t>FDTBS-0SYC0000001V0</t>
  </si>
  <si>
    <t>DIVIDING HEAD</t>
  </si>
  <si>
    <t>8466300000</t>
  </si>
  <si>
    <t>FGDFJ37JL000EYX7CV0</t>
  </si>
  <si>
    <t>TUMBLING COMPOSTER</t>
  </si>
  <si>
    <t>FGDFJ43JL000693KAV0</t>
  </si>
  <si>
    <t>FGDHGZLSLZFS730X7V0</t>
  </si>
  <si>
    <t>FGDHGZLSLZFSFYEP9V0</t>
  </si>
  <si>
    <t>FGDHGZLSLZFSIFL6RV0</t>
  </si>
  <si>
    <t>FGDHGZLSLZFSL278CV0</t>
  </si>
  <si>
    <t>FGDHGZLSLZFSL90M7V0</t>
  </si>
  <si>
    <t>FGDHGZLSLZFSY0FVPV0</t>
  </si>
  <si>
    <t>FHBLBLK34INCWKJPP001V0</t>
  </si>
  <si>
    <t>FIRE GLASS</t>
  </si>
  <si>
    <t>7018101100</t>
  </si>
  <si>
    <t>FHBLBYBLZ34IFVFMJ001V0</t>
  </si>
  <si>
    <t>MSBU7968460, MSMU7812851</t>
  </si>
  <si>
    <t>list=FR-052066, list=IT-052076</t>
  </si>
  <si>
    <t>FHBLZSBLZ1IN1K0G4001V0</t>
  </si>
  <si>
    <t>FHQ25LHSFYQ5-6D01V2</t>
  </si>
  <si>
    <t>SCIENTIFIC LAB INCUBATO</t>
  </si>
  <si>
    <t>FHSXYQ20241JUBKCE001V0</t>
  </si>
  <si>
    <t>FHTZT2036INCMITTK001V0</t>
  </si>
  <si>
    <t>WELDING BLANKETS</t>
  </si>
  <si>
    <t>7019900085</t>
  </si>
  <si>
    <t>UETU7550736</t>
  </si>
  <si>
    <t>Packing list=CZ-055659</t>
  </si>
  <si>
    <t>FHTZT4040INC2GWCV001V0</t>
  </si>
  <si>
    <t>FHXXXZXQ12INHKP03001V9</t>
  </si>
  <si>
    <t>LINEAR ACTUATOR</t>
  </si>
  <si>
    <t>8501310020</t>
  </si>
  <si>
    <t>MSDU6523858, MSMU7674578, TCNU7822627</t>
  </si>
  <si>
    <t>Packing list=CZ-056029, Packing list=FR-054890, Packing list=PL-056044</t>
  </si>
  <si>
    <t>FHXXXZXQ40INT7SVN001V9</t>
  </si>
  <si>
    <t>FHXXXZXQ4INC7LZD0001V9</t>
  </si>
  <si>
    <t>FHXXXZXQ8INC992IM001V9</t>
  </si>
  <si>
    <t>FJ12INCH2GKSTBKR0001V0</t>
  </si>
  <si>
    <t>F-CLAMP</t>
  </si>
  <si>
    <t>8205591000</t>
  </si>
  <si>
    <t>FJ12INCH4KSJRPXDA002V0</t>
  </si>
  <si>
    <t>FJ24INCH2GKSW13LH002V0</t>
  </si>
  <si>
    <t>FJ24INCH2GPX9N6J4001V0</t>
  </si>
  <si>
    <t>FJ24INCH2ZZK1W0TNV0</t>
  </si>
  <si>
    <t>FCIU8346047, TGHU6287929, TGHU9810798</t>
  </si>
  <si>
    <t>Packing list=CZ-055905, Packing list=FR-054750, Packing list=PL-055927</t>
  </si>
  <si>
    <t>FJ30INCH2GPXIMF6O001V0</t>
  </si>
  <si>
    <t>FJ36INCH2GPX4WDW0001V0</t>
  </si>
  <si>
    <t>FJ36INCH2GZTY7VBV001V0</t>
  </si>
  <si>
    <t>FJ36INCH2ZZZW8GT9V0</t>
  </si>
  <si>
    <t>FJ36INCH4ZTDH7M9E001V0</t>
  </si>
  <si>
    <t>FJ50INCH2ZZPVWKVVV0</t>
  </si>
  <si>
    <t>FJKK1581113166YC0V0</t>
  </si>
  <si>
    <t>HOLE SAW</t>
  </si>
  <si>
    <t>FJKKQZDFC1588U5VPV0</t>
  </si>
  <si>
    <t>FJKSNHMMS108T371IV0</t>
  </si>
  <si>
    <t>GRADED CARD STORAGE BOX</t>
  </si>
  <si>
    <t>FJKSNHMMS1208A6WJV0</t>
  </si>
  <si>
    <t>FJKSNHMMS162LU13NV0</t>
  </si>
  <si>
    <t>MSNU9759770, TCNU1401533, UETU7801282</t>
  </si>
  <si>
    <t>Packing list=FR-055406, Packing list=IT-056489, Packing list=PL-055436</t>
  </si>
  <si>
    <t>FJKSNHYCSKK1V3VTKV0</t>
  </si>
  <si>
    <t>FJKSNHYCSKK9N54I7V0</t>
  </si>
  <si>
    <t>FM1151DGNTHJ00001V2</t>
  </si>
  <si>
    <t>FM1161DGNTHJ00001V2</t>
  </si>
  <si>
    <t>FMDRPSLDCSXNPGHLVV2</t>
  </si>
  <si>
    <t>ELECTRIC PIZZA OVEN</t>
  </si>
  <si>
    <t>FMDRPSLDCSXNRSZAFV2</t>
  </si>
  <si>
    <t>FMDRPSLSCSXNVZD4XV2</t>
  </si>
  <si>
    <t>FMDRPSLSCSXNXR1RGV2</t>
  </si>
  <si>
    <t>FPLJAZPU400LBUE89V0</t>
  </si>
  <si>
    <t>SOLID WHEELS</t>
  </si>
  <si>
    <t>FQQPJLS38316TDQZAV0</t>
  </si>
  <si>
    <t>TOMATO SLICER</t>
  </si>
  <si>
    <t>FS22625X16X209POQV0</t>
  </si>
  <si>
    <t>SHOWER SEAT</t>
  </si>
  <si>
    <t>FSLY115X38X20Y2XKV0</t>
  </si>
  <si>
    <t>FSLYD48X16X20XC90V0</t>
  </si>
  <si>
    <t>FSSFLWLFDJ10WOV8NV9</t>
  </si>
  <si>
    <t>WIND TURBINE GENERATOR</t>
  </si>
  <si>
    <t>FSSFLWLFDJ40F58LIV9</t>
  </si>
  <si>
    <t>FSSFLWLFDJ40N69K2V9</t>
  </si>
  <si>
    <t>FSSMJPD5YC00C3DAG001V0</t>
  </si>
  <si>
    <t>HANDRAIL THRESHOLD RAMP</t>
  </si>
  <si>
    <t>FSSMJPD6YC00E8LO0001V0</t>
  </si>
  <si>
    <t>7616999099</t>
  </si>
  <si>
    <t>CAIU7751371, CAIU8407170, MEDU4464722, MSCU4594885, MSDU6211947, MSMU6966528, MSMU7674578, UETU8215795</t>
  </si>
  <si>
    <t>Packing list=CZ-056029, Packing list=FR-054884, Packing list=FR-054885, Packing list=FR-054887, Packing list=FR-054889, Packing list=PL-054902, Packing list=PL-054903, Packing list=PL-054906</t>
  </si>
  <si>
    <t>FSSPJNJXT2FTTTFIO001V0</t>
  </si>
  <si>
    <t>FERMENTER</t>
  </si>
  <si>
    <t>7310100010</t>
  </si>
  <si>
    <t>FTBBS12VDL1224RZK001V9</t>
  </si>
  <si>
    <t>FTSDG1215220VYQJDV2</t>
  </si>
  <si>
    <t>FTYNHWZD2JZDBSMA8V7</t>
  </si>
  <si>
    <t>OUTDOOR BOLLARDS</t>
  </si>
  <si>
    <t>8513100000</t>
  </si>
  <si>
    <t>FTYS201BXG5CBXPLH001V9</t>
  </si>
  <si>
    <t>SHOWER PANEL TOWER</t>
  </si>
  <si>
    <t>8481801190</t>
  </si>
  <si>
    <t>CAAU5661620, FDCU0243422</t>
  </si>
  <si>
    <t>Packing list=CZ-055655, Packing list=PL-054559</t>
  </si>
  <si>
    <t>FTYS5CS2MSDPMTEAX001V9</t>
  </si>
  <si>
    <t>TXGU8904131</t>
  </si>
  <si>
    <t>Packing list=PL-054562</t>
  </si>
  <si>
    <t>FTYS6CS2MSDP57F0KV9</t>
  </si>
  <si>
    <t>FTYS6CS2MSDPKUG3WV9</t>
  </si>
  <si>
    <t>FWIFIYHWRXY2ZWCTO002V9</t>
  </si>
  <si>
    <t>HANDHELD THERMAL IMAGER</t>
  </si>
  <si>
    <t>FWQJJGB1U10YF1LZFV0</t>
  </si>
  <si>
    <t>SERVER RACK SHELF</t>
  </si>
  <si>
    <t>FWSBYMBHSNJBUZ1X4V2</t>
  </si>
  <si>
    <t>FABRIC CAT SHELTER</t>
  </si>
  <si>
    <t>3926909733, 4202921100</t>
  </si>
  <si>
    <t>FX24FT10IN6IN4PBZV0</t>
  </si>
  <si>
    <t>FLOOD BARRIER</t>
  </si>
  <si>
    <t>3923299000</t>
  </si>
  <si>
    <t>FX5000GX0.01GKGEMV2</t>
  </si>
  <si>
    <t>LAB SCALES &amp; BALANCES, LAB SCALES AND BALANCES</t>
  </si>
  <si>
    <t>9016001000</t>
  </si>
  <si>
    <t>FXBXJSDDDMNW2JHZTV0</t>
  </si>
  <si>
    <t>FXDD35YC24YCFUXF1V0</t>
  </si>
  <si>
    <t>FENCE POST ANCHOR GROUND SPIKE</t>
  </si>
  <si>
    <t>FXDZL2GHQSYDDDWHI001V0</t>
  </si>
  <si>
    <t>GAS FORGING FURNACE</t>
  </si>
  <si>
    <t>7321810000, 8417100000</t>
  </si>
  <si>
    <t>MEDU7133728, MSBU7581677, MSMU7678871</t>
  </si>
  <si>
    <t>Packing list=CZ-056445, Packing list=FR-056467, Packing list=PL-056502</t>
  </si>
  <si>
    <t>FXDZL3GHQSYDOTF07001V0</t>
  </si>
  <si>
    <t>FXDZL3GHQSYF9FVJY001V0</t>
  </si>
  <si>
    <t>SQUARE PROPANE FORGE</t>
  </si>
  <si>
    <t>7321810000</t>
  </si>
  <si>
    <t>MEDU7133728</t>
  </si>
  <si>
    <t>Packing list=FR-056467</t>
  </si>
  <si>
    <t>FXGZFM15INCH2IBS1V0</t>
  </si>
  <si>
    <t>SQUARE HANGING TABLE</t>
  </si>
  <si>
    <t>9403991090</t>
  </si>
  <si>
    <t>FXGZMZ12INCH0ANITV0</t>
  </si>
  <si>
    <t>CAIU4774748, CAIU7575647, MSMU5818830</t>
  </si>
  <si>
    <t>Packing list=CZ-055663, Packing list=PL-054556, Packing list=PL-054558</t>
  </si>
  <si>
    <t>FXGZMZ12INCH6ROCDV0</t>
  </si>
  <si>
    <t>FXGZMZ12INCHJ4NJOV0</t>
  </si>
  <si>
    <t>FXGZSM25INCHDZVCRV0</t>
  </si>
  <si>
    <t>FXKLGZL125G2GQBG8001V0</t>
  </si>
  <si>
    <t>7610909095</t>
  </si>
  <si>
    <t>MSCU4594885</t>
  </si>
  <si>
    <t>Packing list=FR-054885</t>
  </si>
  <si>
    <t>FXKLJT6INCH083F6YV0</t>
  </si>
  <si>
    <t>RV LEVELING JACK PAD</t>
  </si>
  <si>
    <t>CAAU6199835, MSNU5329452</t>
  </si>
  <si>
    <t>list=CZ-050499, list=FR-052068</t>
  </si>
  <si>
    <t>FXKQXNKJ5INCJAKLU001V9</t>
  </si>
  <si>
    <t>BORESCOPE</t>
  </si>
  <si>
    <t>FXKQXNKJDPM54DN8QV9</t>
  </si>
  <si>
    <t>LCD DIGITAL ENDOSCOPE</t>
  </si>
  <si>
    <t>FXKZDFQZZ1246265OV0</t>
  </si>
  <si>
    <t>SQUARE PLANT SUPPORT CAGES</t>
  </si>
  <si>
    <t>FXPQP1JFX30I0YH0C001V0</t>
  </si>
  <si>
    <t>DISAPPEARING WATER FOUNTAIN BASIN</t>
  </si>
  <si>
    <t>FXRSD48IN9INJATDDV0</t>
  </si>
  <si>
    <t>FXSKKWCHS3215H99QV0</t>
  </si>
  <si>
    <t>CAMPﬁRE BBQ GRILL</t>
  </si>
  <si>
    <t>FXSMDZYLDJQDZC9BGV0</t>
  </si>
  <si>
    <t>FORGE</t>
  </si>
  <si>
    <t>FXZLPM2PCS24WU4QE001V0</t>
  </si>
  <si>
    <t>FOOTBALL DUMMIES</t>
  </si>
  <si>
    <t>FXZTHSGFX28XXZDT7V0</t>
  </si>
  <si>
    <t>TABLE LEGS</t>
  </si>
  <si>
    <t>9403.99.1090</t>
  </si>
  <si>
    <t>FZBXK16X18X1PVQV0V0</t>
  </si>
  <si>
    <t>TARGET</t>
  </si>
  <si>
    <t>FZKCYJ6878348I8KKV0</t>
  </si>
  <si>
    <t>GARMENT RACKS</t>
  </si>
  <si>
    <t>FZL28YCT00002IAVOV0</t>
  </si>
  <si>
    <t>PANIC EXIT DEVICE</t>
  </si>
  <si>
    <t>7325991090</t>
  </si>
  <si>
    <t>FZL31YCBXG0013KC1V0</t>
  </si>
  <si>
    <t>FZSLLDGGEC8YYL3H6V0</t>
  </si>
  <si>
    <t>PULL OUT CABINET ORGANIZER(DOUBLE LAYER )</t>
  </si>
  <si>
    <t>FZSTXC05T2555HYFGV0</t>
  </si>
  <si>
    <t>CMAU9767404, CSNU6554247</t>
  </si>
  <si>
    <t>list=CZ-050502, list=FR-050517</t>
  </si>
  <si>
    <t>FZSTXCHJ1T257IUOQV0</t>
  </si>
  <si>
    <t>BEAU4243644, CMAU9767404, MSMU8224934</t>
  </si>
  <si>
    <t>list=CZ-050502, list=FR-052059, list=FR-052081</t>
  </si>
  <si>
    <t>FZSTXCHJ2T257143TV0</t>
  </si>
  <si>
    <t>MSBU7968460, MSMU8224934, TCKU6211341</t>
  </si>
  <si>
    <t>list=CZ-050501, list=FR-052059, list=IT-052076</t>
  </si>
  <si>
    <t>FZXZSHPHS2PC5MZ4N001V0</t>
  </si>
  <si>
    <t>TALL PLANTER</t>
  </si>
  <si>
    <t>MSCU5315774, MSDU8279268</t>
  </si>
  <si>
    <t>Packing list=CZ-055664, Packing list=PL-055706</t>
  </si>
  <si>
    <t>G2415A63AIP654HIKV0</t>
  </si>
  <si>
    <t>PV COMBINER BOX</t>
  </si>
  <si>
    <t>CAIU7751371, MSNU8441810</t>
  </si>
  <si>
    <t>Packing list=FR-054886, Packing list=PL-054903</t>
  </si>
  <si>
    <t>G29G27G25ZLYXZJ01V0</t>
  </si>
  <si>
    <t>STEERING WHEEL STAND</t>
  </si>
  <si>
    <t>GBSLSXXJ180LLWFYJV2</t>
  </si>
  <si>
    <t>AROMA DIFFUSER</t>
  </si>
  <si>
    <t>8509800000, 8543709010</t>
  </si>
  <si>
    <t>CAAU6920828, MSBU7304672, MSMU8074217, MSMU8950984, TCLU4986759, TCLU5196126</t>
  </si>
  <si>
    <t>Packing list=CZ-056443, Packing list=CZ-056444, Packing list=FR-056465, Packing list=IT-056493, Packing list=PL-056499, Packing list=PL-056500</t>
  </si>
  <si>
    <t>GBSLSXXJ300MDMIJ7V2</t>
  </si>
  <si>
    <t>MSMU8950984, TCLU4986759, TCLU5196126</t>
  </si>
  <si>
    <t>Packing list=CZ-056444, Packing list=FR-056465, Packing list=PL-056500</t>
  </si>
  <si>
    <t>GBSLSXXJ850MUONNTV2</t>
  </si>
  <si>
    <t>GBSLSXXJBGSL3I6WAV9</t>
  </si>
  <si>
    <t>MSBU7581677, MSDU5115018, MSMU8074217</t>
  </si>
  <si>
    <t>Packing list=CZ-056446, Packing list=IT-056493, Packing list=PL-056502</t>
  </si>
  <si>
    <t>GCTH2H1KGCTH9T5EX001V0</t>
  </si>
  <si>
    <t>GCTH2H1KGCTHD77ND001V0</t>
  </si>
  <si>
    <t>GCYMWJTJHS8FD5SVJV0</t>
  </si>
  <si>
    <t>SLIDING BARN DOOR HARDWARE KIT</t>
  </si>
  <si>
    <t>GCYMWJTJHS8FDEY4EV0</t>
  </si>
  <si>
    <t>GCYMWJTJHS8FLSQZJV0</t>
  </si>
  <si>
    <t>GDGJJSDGDGJJM7AZX001V0</t>
  </si>
  <si>
    <t>STEEL PIPE CUTTING MACHINE</t>
  </si>
  <si>
    <t>GDJDG700MM2J8CW5K001V0</t>
  </si>
  <si>
    <t>SAW TRACK</t>
  </si>
  <si>
    <t>7604299090</t>
  </si>
  <si>
    <t>GDLSJCDWQGDL0NLZJ001V9</t>
  </si>
  <si>
    <t>PIPELINE LEAK DETECTOR</t>
  </si>
  <si>
    <t>8543709030</t>
  </si>
  <si>
    <t>GDLSJCDWQGDL2KERD001V9</t>
  </si>
  <si>
    <t>GDLSJCDWQGDLHGSVD001V9</t>
  </si>
  <si>
    <t>GDLSJCDWQGDLTJHH3001V9</t>
  </si>
  <si>
    <t>GDLSJCDWQGDLZMHFZ001V9</t>
  </si>
  <si>
    <t>GDSDDHLHLJCKJBHTU002V8</t>
  </si>
  <si>
    <t>ELECTRIC CHAIN HOISTS</t>
  </si>
  <si>
    <t>GDSDDHLHLJCKPRQPZ001V8</t>
  </si>
  <si>
    <t>GDSDDHLHLJCKTHQ8Y002V8</t>
  </si>
  <si>
    <t>GDSDFXHSPE24XFBXXV0</t>
  </si>
  <si>
    <t>STATIONARY COMPOSTERS</t>
  </si>
  <si>
    <t>GDSDKZGJGD341IAHN001V0</t>
  </si>
  <si>
    <t>BANDING STRAPPING KIT</t>
  </si>
  <si>
    <t>8422300000</t>
  </si>
  <si>
    <t>GDSSCLGBD15FTKQS0V0</t>
  </si>
  <si>
    <t>LOAD HEIGHT MEASURING STICK</t>
  </si>
  <si>
    <t>7002100000</t>
  </si>
  <si>
    <t>CMAU4731862</t>
  </si>
  <si>
    <t>list=CZ-050496</t>
  </si>
  <si>
    <t>GDSTJLSGTSZD6CZH9001V2</t>
  </si>
  <si>
    <t>PIPE DRAIN CLEANER MACHINE</t>
  </si>
  <si>
    <t>CSNU7335475</t>
  </si>
  <si>
    <t>list=FR-049325</t>
  </si>
  <si>
    <t>GDSTJLSGTSZDYGHE9001V2</t>
  </si>
  <si>
    <t/>
  </si>
  <si>
    <t>list=ES-049341</t>
  </si>
  <si>
    <t>GDSTYNB2100WISY7U001V2</t>
  </si>
  <si>
    <t>FFAU1763669, MEDU7133728, MSMU7678871, TCLU4986759, TGBU9853870</t>
  </si>
  <si>
    <t>Packing list=CZ-056445, Packing list=FR-056466, Packing list=FR-056467, Packing list=IT-056491, Packing list=PL-056500</t>
  </si>
  <si>
    <t>GDSTYXDFYTSQYE335001V0</t>
  </si>
  <si>
    <t>FABRIC SOFA</t>
  </si>
  <si>
    <t>GDSXLDJG50WWGZAH2001Y3</t>
  </si>
  <si>
    <t>SOLAR CHARGER</t>
  </si>
  <si>
    <t>8419190000</t>
  </si>
  <si>
    <t>GDSYD1515110VBP0EV2</t>
  </si>
  <si>
    <t>8205510000, 8516797090</t>
  </si>
  <si>
    <t>GDSYD1515110VZG9PV2</t>
  </si>
  <si>
    <t>GDSYD1620110VW3F4V2</t>
  </si>
  <si>
    <t>GDSYD1624110VE26IV2</t>
  </si>
  <si>
    <t>GDSYGZYTLSLB1UMXX001V0</t>
  </si>
  <si>
    <t>TUB TRANSFER BENCHES</t>
  </si>
  <si>
    <t>7608202090</t>
  </si>
  <si>
    <t>GDSYGZYTLSLB9D365001V0</t>
  </si>
  <si>
    <t>MSBU8204493</t>
  </si>
  <si>
    <t>Packing list=FR-055405</t>
  </si>
  <si>
    <t>GDSYGZYTLSLBO8O71001V0</t>
  </si>
  <si>
    <t>GDSYGZYTLSLKA9NI1V0</t>
  </si>
  <si>
    <t>FFAU3066180, MSMU8074217</t>
  </si>
  <si>
    <t>Packing list=CZ-056447, Packing list=IT-056493</t>
  </si>
  <si>
    <t>GDSYGZYTLSLKHO50K001V0</t>
  </si>
  <si>
    <t>GDSYGZYTLSLKLF6OHV0</t>
  </si>
  <si>
    <t>CAIU7733254, FFAU3066180</t>
  </si>
  <si>
    <t>Packing list=CZ-056447, Packing list=PL-056510</t>
  </si>
  <si>
    <t>GDSZYP40120YPKQK5001V0</t>
  </si>
  <si>
    <t>POLYCARBONATE-AWNINGS</t>
  </si>
  <si>
    <t>3925901000</t>
  </si>
  <si>
    <t>GDSZYP4040YC1V67C001V0</t>
  </si>
  <si>
    <t>7610901000</t>
  </si>
  <si>
    <t>GDSZYP4040YC51M8U001V0</t>
  </si>
  <si>
    <t>GDSZYP4080YC4BXI6001V0</t>
  </si>
  <si>
    <t>GDSZYP4080YCKX1PQ001V0</t>
  </si>
  <si>
    <t>GDSZYP4080YCY5PYT001V0</t>
  </si>
  <si>
    <t>GDTCY20M7YC000001V2</t>
  </si>
  <si>
    <t>GDTCY20M9YC000001V2</t>
  </si>
  <si>
    <t>GDTCY30M7YC000001V2</t>
  </si>
  <si>
    <t>GDTCY50M7YC000001V2</t>
  </si>
  <si>
    <t>GDXHZ800LB36HJ2L5V0</t>
  </si>
  <si>
    <t>MSDU7691060, MSDU8279268, TXGU6715988</t>
  </si>
  <si>
    <t>Packing list=CZ-055657, Packing list=CZ-055660, Packing list=PL-055706</t>
  </si>
  <si>
    <t>GDZLKXTS20LB3OHMJV0</t>
  </si>
  <si>
    <t>FIXED WEIGHT MODEL</t>
  </si>
  <si>
    <t>MSMU6966528, MSMU7674578</t>
  </si>
  <si>
    <t>Packing list=CZ-056029, Packing list=FR-054889</t>
  </si>
  <si>
    <t>GFHLX4HL15ATMYRICY3</t>
  </si>
  <si>
    <t>GFHLX6HL10ATXX3C2Y3</t>
  </si>
  <si>
    <t>3923210000, 7310100090</t>
  </si>
  <si>
    <t>GFHLX6HL15ATXZH6YY3</t>
  </si>
  <si>
    <t>GFSMYQNQ1000RLUKNV2</t>
  </si>
  <si>
    <t>KEROSENE HEATER</t>
  </si>
  <si>
    <t>GFSMYQNQ50KWRABDF001V2</t>
  </si>
  <si>
    <t>FORCED AIR KEROSENE HEATER</t>
  </si>
  <si>
    <t>7321120000</t>
  </si>
  <si>
    <t>GGJ20X2040X49O1QRV0</t>
  </si>
  <si>
    <t>BENDER</t>
  </si>
  <si>
    <t>GGJRQGMX1JTRUVBUOV0</t>
  </si>
  <si>
    <t>HUMAN BODY TEACHING,HUMAN BODY TEACHING MODELS</t>
  </si>
  <si>
    <t>MSDU5115018, MSMU8753250, TGBU9853870</t>
  </si>
  <si>
    <t>Packing list=CZ-056446, Packing list=IT-056491, Packing list=PL-056503</t>
  </si>
  <si>
    <t>GGS36INCHHQZT08LK001V0</t>
  </si>
  <si>
    <t>FENCE POST EXTRACTOR</t>
  </si>
  <si>
    <t>GGS36INCHWQZNE8IA001V0</t>
  </si>
  <si>
    <t>UETU6075441</t>
  </si>
  <si>
    <t>Packing list=PL-054561</t>
  </si>
  <si>
    <t>GGSSDQTJ1GPJ8HA2C001V0</t>
  </si>
  <si>
    <t>VERTICAL FRENCH FRY MACHINE</t>
  </si>
  <si>
    <t>GGSSDQTJ1GPJMMBSO001V0</t>
  </si>
  <si>
    <t>GGSSDQTJ3J122SDRF001V0</t>
  </si>
  <si>
    <t>LEVER MANUAL VEGETABLE SLICER</t>
  </si>
  <si>
    <t>GGSSDQTJWBNDF3QLY001V0</t>
  </si>
  <si>
    <t>GJ1107BGJ-VX00001V0</t>
  </si>
  <si>
    <t>PIPE STANDS</t>
  </si>
  <si>
    <t>GJ1107GJ000000001V0</t>
  </si>
  <si>
    <t>GJBBBD1012INXI8UM001V0</t>
  </si>
  <si>
    <t>TOOL BACKPACK</t>
  </si>
  <si>
    <t>4202221000</t>
  </si>
  <si>
    <t>GJF53FTHHSMSOZT3V001V0</t>
  </si>
  <si>
    <t>TOOL STORAGE SHED</t>
  </si>
  <si>
    <t>GJGCSCGJLWTZ7U2YO001V0</t>
  </si>
  <si>
    <t>ELEVATED DOG BED</t>
  </si>
  <si>
    <t>GJGJXDL1107AV65OSV0</t>
  </si>
  <si>
    <t>GJLGTHQ0000000001V0</t>
  </si>
  <si>
    <t>PIPE STAND</t>
  </si>
  <si>
    <t>GJSTCQJDSYKCJ0TGPV0</t>
  </si>
  <si>
    <t>TUBE MOUNT WELD-ON JACK</t>
  </si>
  <si>
    <t>GJTB16YCSLDZR2ZZC001V0</t>
  </si>
  <si>
    <t>TOOL BAG</t>
  </si>
  <si>
    <t>4202229090</t>
  </si>
  <si>
    <t>GJTB16YCWDZZOWZ7L001V0</t>
  </si>
  <si>
    <t>MSDU8088467, MSNU8925183</t>
  </si>
  <si>
    <t>Packing list=PL-054770, Packing list=PL-054772</t>
  </si>
  <si>
    <t>GJTCBLXWHTHTTMTJZ001V0</t>
  </si>
  <si>
    <t>GJTCBLXWHTTCEJ8VR001V0</t>
  </si>
  <si>
    <t>GJTCBLXWHTTCO5VKE001V0</t>
  </si>
  <si>
    <t>GLBXXCZBXSL48OM3I001V2</t>
  </si>
  <si>
    <t>CAR REFRIGERATOR</t>
  </si>
  <si>
    <t>8418219190</t>
  </si>
  <si>
    <t>CRSU9232786, FCIU8358053, MEDU7761426</t>
  </si>
  <si>
    <t>Packing list=CZ-055909, Packing list=CZ-055910, Packing list=PL-055929</t>
  </si>
  <si>
    <t>GLBXXCZBXSL5Q0LQ9001V2</t>
  </si>
  <si>
    <t>8418215190, 8418219190</t>
  </si>
  <si>
    <t>BMOU4422599, CAIU8091272, DRYU9392353, MEDU7761426, TGHU9810798</t>
  </si>
  <si>
    <t>Packing list=CZ-055904, Packing list=CZ-055905, Packing list=CZ-055910, Packing list=FR-054749, Packing list=PL-054774</t>
  </si>
  <si>
    <t>GLCZBXX30LDMJ7W0E001V2</t>
  </si>
  <si>
    <t>8418215190, 8418302099</t>
  </si>
  <si>
    <t>GLCZBXX40LDMTQDRX001V2</t>
  </si>
  <si>
    <t>GLCZBXX50LDMMXXSD001V2</t>
  </si>
  <si>
    <t>8418211090, 8418215190</t>
  </si>
  <si>
    <t>CAAU6920828, MEDU8801415, MSBU7304672, MSCU5085389, MSMU8753250</t>
  </si>
  <si>
    <t>Packing list=CZ-056443, Packing list=FR-056464, Packing list=IT-056490, Packing list=PL-056499, Packing list=PL-056503</t>
  </si>
  <si>
    <t>GLDXLT5MMX30.5M01V0</t>
  </si>
  <si>
    <t>ZINC PLATED CHAIN</t>
  </si>
  <si>
    <t>GLDXLT6MMX30.5M01V0</t>
  </si>
  <si>
    <t>GLGGLG12MDG5WJJ7B001V0</t>
  </si>
  <si>
    <t>BARBELL, BARBELL BAR</t>
  </si>
  <si>
    <t>CSNU8950231, FFAU2882889, SELU4270474</t>
  </si>
  <si>
    <t>list=ES-049339, list=FR-049320, list=IT-049334</t>
  </si>
  <si>
    <t>GLGGLG18MDG58I5TY001V0</t>
  </si>
  <si>
    <t>GLGJBB14YC168FJ9Q001V0</t>
  </si>
  <si>
    <t>ROLLING TOOL BAG</t>
  </si>
  <si>
    <t>GLGJBB15YC164X8V1001V0</t>
  </si>
  <si>
    <t>GLHQ128INCHHNDXLZV0</t>
  </si>
  <si>
    <t>BENCH CHAIN VISE</t>
  </si>
  <si>
    <t>GLLGBLQBHH3Q3MBVN001V0</t>
  </si>
  <si>
    <t>BOWLING BAG</t>
  </si>
  <si>
    <t>GLLGBLQBHL3QDBUQO001V0</t>
  </si>
  <si>
    <t>GLLGBLQBHS3Q8N6PE001V0</t>
  </si>
  <si>
    <t>MSBU8204493, TCNU1401533</t>
  </si>
  <si>
    <t>Packing list=FR-055405, Packing list=PL-055436</t>
  </si>
  <si>
    <t>GLLGBLQBQBLG29IZ1001V0</t>
  </si>
  <si>
    <t>GLLGBLQBQBLG3VL6N001V0</t>
  </si>
  <si>
    <t>CAAU6920828, MSNU9759770, TCNU1401533, UETU7801282</t>
  </si>
  <si>
    <t>Packing list=CZ-056443, Packing list=FR-055406, Packing list=IT-056489, Packing list=PL-055436</t>
  </si>
  <si>
    <t>GLLGBLQBQBLG8VEX4001V0</t>
  </si>
  <si>
    <t>GLLGBLQBQBLGIJD3I001V0</t>
  </si>
  <si>
    <t>GLQW66YC5KXWO23PI001V0</t>
  </si>
  <si>
    <t>RUGBY NET</t>
  </si>
  <si>
    <t>GLQW66YC5KXWU4Z09001V0</t>
  </si>
  <si>
    <t>GLQW77YC5KXWM1CMG001V0</t>
  </si>
  <si>
    <t>GLQW77YC5KXWQ8XVG001V0</t>
  </si>
  <si>
    <t>GLQW88YC6KXWUV4RK001V0</t>
  </si>
  <si>
    <t>GLQWHS84INCHVRYNP001V0</t>
  </si>
  <si>
    <t>GRSWNXZSZ00000001V0</t>
  </si>
  <si>
    <t>BALL VISE</t>
  </si>
  <si>
    <t>7326909290, 8516210000</t>
  </si>
  <si>
    <t>FFAU1763669, TCLU4986759, TCLU5196126</t>
  </si>
  <si>
    <t>Packing list=CZ-056444, Packing list=FR-056466, Packing list=PL-056500</t>
  </si>
  <si>
    <t>GSGQSGJDLEDD8DXN6001V2</t>
  </si>
  <si>
    <t>DRYWALL SANDER</t>
  </si>
  <si>
    <t>MEDU7964892, TXGU6715988</t>
  </si>
  <si>
    <t>Packing list=CZ-055660, Packing list=PL-054555</t>
  </si>
  <si>
    <t>GSGQSGJDLEDDADYBZ001V2</t>
  </si>
  <si>
    <t>GSGQSGJDLEDDDU7J3001V2</t>
  </si>
  <si>
    <t>8467295100</t>
  </si>
  <si>
    <t>GSGTZYC13JPJJHBXP001V0</t>
  </si>
  <si>
    <t>ANNULAR CUTTER</t>
  </si>
  <si>
    <t>8207506000</t>
  </si>
  <si>
    <t>GSGTZYC16JPJWRSFX001V0</t>
  </si>
  <si>
    <t>GSGTZYC5JPJ1WJ6XY001V0</t>
  </si>
  <si>
    <t>GSGTZYC6JPJ2A1V1W001V0</t>
  </si>
  <si>
    <t>8207506000, 8207909100</t>
  </si>
  <si>
    <t>GSGTZYC8JPJ27BMKG001V0</t>
  </si>
  <si>
    <t>GSJBGSDGLQFYB6OYN001V2</t>
  </si>
  <si>
    <t>SHALLOW WELL PUMP WITH TANK</t>
  </si>
  <si>
    <t>8413502090</t>
  </si>
  <si>
    <t>GSNBNJB5JTJZ56BHD001V0</t>
  </si>
  <si>
    <t>MUSICAL INSTRUMENT BAGS AND CASES</t>
  </si>
  <si>
    <t>4202129990</t>
  </si>
  <si>
    <t>GSQSQBDDBDD11GAYDV0</t>
  </si>
  <si>
    <t>FLOOR SWEEPER</t>
  </si>
  <si>
    <t>GSQSQBDDBDDS1HY50001V0</t>
  </si>
  <si>
    <t>GSQSQBDDBDDS2GNIQ001V0</t>
  </si>
  <si>
    <t>3926905000, 8509800000</t>
  </si>
  <si>
    <t>GSQSQBDDBDDSY8CF2001V0</t>
  </si>
  <si>
    <t>9603909900</t>
  </si>
  <si>
    <t>GSS1X19-4.8MM152MV0</t>
  </si>
  <si>
    <t>GSS1X19-4MM152M01V0</t>
  </si>
  <si>
    <t>GSS7X19-4.8MM76M1V0</t>
  </si>
  <si>
    <t>GSS7X19-6.4MM61M1V0</t>
  </si>
  <si>
    <t>GSSKJXQDXGSSRCF7V001V0</t>
  </si>
  <si>
    <t>RATCHET POWER PULLER</t>
  </si>
  <si>
    <t>GSSXSDJP16007KQVI001V0</t>
  </si>
  <si>
    <t>GTSBJHSFMTCGB41IU001V0</t>
  </si>
  <si>
    <t>COMPOST SPREADER</t>
  </si>
  <si>
    <t>GTSBJHSFMTCGIFLZ7001V0</t>
  </si>
  <si>
    <t>SPREADER</t>
  </si>
  <si>
    <t>CSNU5799944, FFAU2882889, MSNU5329452, SELU4270474</t>
  </si>
  <si>
    <t>list=ES-049339, list=FR-049321, list=FR-052068, list=IT-049334</t>
  </si>
  <si>
    <t>GWSPLCHS110L4YQ1AV0</t>
  </si>
  <si>
    <t>STAIR CLIMBING CART</t>
  </si>
  <si>
    <t>MEDU7964892, UETU6075441</t>
  </si>
  <si>
    <t>Packing list=PL-054555, Packing list=PL-054561</t>
  </si>
  <si>
    <t>GWSPLCHSHJLSKAMT1V0</t>
  </si>
  <si>
    <t>CAIU4774748, UETU6075441</t>
  </si>
  <si>
    <t>Packing list=PL-054558, Packing list=PL-054561</t>
  </si>
  <si>
    <t>GXB1000X300X45-3PV0</t>
  </si>
  <si>
    <t>GXB4TZ1000X250X50V0</t>
  </si>
  <si>
    <t>GXB900X580X75-3PCV0</t>
  </si>
  <si>
    <t>GXLGSGWLGXLG01IDOV0</t>
  </si>
  <si>
    <t>GYLS72LMIN12LP9R6V2</t>
  </si>
  <si>
    <t>INDUSTRIAL WATER CHILLER</t>
  </si>
  <si>
    <t>GYLSFS24YCACQCOS3V2</t>
  </si>
  <si>
    <t>DRUM FAN</t>
  </si>
  <si>
    <t>MSDU5039896, MSNU9759770, TCNU1401533, UETU7801282</t>
  </si>
  <si>
    <t>Packing list=FR-055406, Packing list=IT-055413, Packing list=IT-056489, Packing list=PL-055436</t>
  </si>
  <si>
    <t>GYLSFS24YCACTZXEZV2</t>
  </si>
  <si>
    <t>CAAU6920828, MEDU8801415, MSDU5039896</t>
  </si>
  <si>
    <t>Packing list=CZ-056443, Packing list=FR-056464, Packing list=IT-055413</t>
  </si>
  <si>
    <t>GYLSFS30YCACB1SPBV2</t>
  </si>
  <si>
    <t>MSDU5039896, TCNU1401533</t>
  </si>
  <si>
    <t>Packing list=IT-055413, Packing list=PL-055436</t>
  </si>
  <si>
    <t>GYLSJYSJS15LDYZN6V2</t>
  </si>
  <si>
    <t>CSNU6554247, FFAU2254455, FSCU8031100, TGHU6404666, TGHU9193042</t>
  </si>
  <si>
    <t>list=CZ-050497, list=FR-050517, list=FR-052064, list=IT-049338, list=IT-052075</t>
  </si>
  <si>
    <t>GYQXJBMQJQYP32K7VV0</t>
  </si>
  <si>
    <t>PRESSURE WASHER SURFACE CLEANER</t>
  </si>
  <si>
    <t>GYQXJBMQJQYPD6WHPV0</t>
  </si>
  <si>
    <t>GYQXJBMQJQYPI0B3OV0</t>
  </si>
  <si>
    <t>GYQXJBMQJQYPKEO1LV0</t>
  </si>
  <si>
    <t>GYQXJBMQJQYPKK819V0</t>
  </si>
  <si>
    <t>GYQXJBMQJQYPLEQRIV0</t>
  </si>
  <si>
    <t>GYQXJBMQJQYPMS832V0</t>
  </si>
  <si>
    <t>GYQXJBMQJQYPR0QW0V0</t>
  </si>
  <si>
    <t>GYQXJBMQJQYPSIZVYV0</t>
  </si>
  <si>
    <t>GYQXJBMQJQYPY17O7V0</t>
  </si>
  <si>
    <t>GYQXJBMQJQZGQLB0WV0</t>
  </si>
  <si>
    <t>GYRGYJQGYRGYA2SPN001V0</t>
  </si>
  <si>
    <t>HOSE CRIMPER</t>
  </si>
  <si>
    <t>GYWQPTJRGJPJ60PDZV0</t>
  </si>
  <si>
    <t>HIGH PRESSURE AIRLESS PAINT SPRAYER ACCESSORIES</t>
  </si>
  <si>
    <t>GYXTKHSG13TPUGO00V0</t>
  </si>
  <si>
    <t>INDUSTRIAL MACHINERY MOVER</t>
  </si>
  <si>
    <t>GYXTKHSG16TPU4PRFV0</t>
  </si>
  <si>
    <t>GYXTKHSG46TPUH5BLV0</t>
  </si>
  <si>
    <t>HOUSEHOLD MACHINERY MOVER</t>
  </si>
  <si>
    <t>BEAU4243644, FFAU2882889, MSBU7968460, TEMU6360421</t>
  </si>
  <si>
    <t>list=ES-049340, list=FR-052081, list=IT-049334, list=IT-052076</t>
  </si>
  <si>
    <t>GYXTKHSGFG46TAFK1V0</t>
  </si>
  <si>
    <t>CSNU5799944, FFAU2882889, MSBU7968460, MSNU5329452, TEMU6360421</t>
  </si>
  <si>
    <t>list=ES-049340, list=FR-049321, list=FR-052068, list=IT-049334, list=IT-052076</t>
  </si>
  <si>
    <t>GYZXZHZHSLBDGWMS0001V0</t>
  </si>
  <si>
    <t>PLATE TYPE DOG WHELPING BOX</t>
  </si>
  <si>
    <t>GYZXZJZJSLCDC9J1YV0</t>
  </si>
  <si>
    <t>DOG WHELPING BOX</t>
  </si>
  <si>
    <t>GYZXZJZJSLDXHNVTQV0</t>
  </si>
  <si>
    <t>GYZXZJZJSLZXOYTOYV0</t>
  </si>
  <si>
    <t>GYZYJS40YC00PL1X7V0</t>
  </si>
  <si>
    <t>PARK BENCHES</t>
  </si>
  <si>
    <t>GYZYJS46YC00W8FDQV0</t>
  </si>
  <si>
    <t>GYZYJS50YC00LLU5RV0</t>
  </si>
  <si>
    <t>GYZYJSGTSHTFQYLDG001V0</t>
  </si>
  <si>
    <t>GYZYJSGTSHWZTBF7Y001V0</t>
  </si>
  <si>
    <t>GYZYJSGTSWGPYA4OP001V0</t>
  </si>
  <si>
    <t>GYZYJSGTSXHPBJ4TL001V0</t>
  </si>
  <si>
    <t>GYZYMZ50YC00Q2Q8NV0</t>
  </si>
  <si>
    <t>GYZYMZ63YC00L6DXAV0</t>
  </si>
  <si>
    <t>GZ10KGGZ000000001V0</t>
  </si>
  <si>
    <t>CMAU4567738, MSMU8224934, TGHU9193042</t>
  </si>
  <si>
    <t>list=CZ-050495, list=FR-052059, list=FR-052064</t>
  </si>
  <si>
    <t>GZ20KGGZ000000001V0</t>
  </si>
  <si>
    <t>BEAU4243644, CSNU6554247, MSBU7968460, MSMU8224934</t>
  </si>
  <si>
    <t>list=FR-050517, list=FR-052059, list=FR-052081, list=IT-052076</t>
  </si>
  <si>
    <t>GZ40KGGZ000000001V0</t>
  </si>
  <si>
    <t>BEAU4243644, MSBU7968460, MSMU8224934</t>
  </si>
  <si>
    <t>list=FR-052059, list=FR-052081, list=IT-052076</t>
  </si>
  <si>
    <t>GZDJG11KG0003MCWZV0</t>
  </si>
  <si>
    <t>CAAU6199835, FSCU8031100, MSBU7968460, MSMU8224934</t>
  </si>
  <si>
    <t>list=CZ-050499, list=FR-052059, list=IT-049338, list=IT-052076</t>
  </si>
  <si>
    <t>GZDJG25KG000U4QUNV0</t>
  </si>
  <si>
    <t>GZDJG50KG000YKXEPV0</t>
  </si>
  <si>
    <t>MSBU7968460, MSMU8224934</t>
  </si>
  <si>
    <t>list=FR-052059, list=IT-052076</t>
  </si>
  <si>
    <t>GZDZDAQM79483EIKM001V0</t>
  </si>
  <si>
    <t>FOLDING DOOR GATE</t>
  </si>
  <si>
    <t>GZSZDAQM63395RNRL001V0</t>
  </si>
  <si>
    <t>GZTCTCGK16IN3F92IV0</t>
  </si>
  <si>
    <t>UNDER DESK DRAWER</t>
  </si>
  <si>
    <t>HCDRMHTJHSWGFPAD7V2</t>
  </si>
  <si>
    <t>COTTON CANDY MAKERS</t>
  </si>
  <si>
    <t>8516792000, 8516797090</t>
  </si>
  <si>
    <t>MSDU5039896, MSMU7164620</t>
  </si>
  <si>
    <t>Packing list=FR-055408, Packing list=IT-055413</t>
  </si>
  <si>
    <t>HCF2000LBS60IJZGZV0</t>
  </si>
  <si>
    <t>PALLET FORK</t>
  </si>
  <si>
    <t>CSNU8950231, FFAU2882889, UETU5958499</t>
  </si>
  <si>
    <t>list=FR-049319, list=FR-049320, list=IT-049334</t>
  </si>
  <si>
    <t>HCF43INCH20005JCOV0</t>
  </si>
  <si>
    <t>CSNU8950231, FFAU2882889, SELU4270474, UETU5958499</t>
  </si>
  <si>
    <t>list=ES-049339, list=FR-049319, list=FR-049320, list=IT-049334</t>
  </si>
  <si>
    <t>HCS2000LBS60IX9MMV0</t>
  </si>
  <si>
    <t>BEAU4243644, CMAU4731862, CSNU8543508</t>
  </si>
  <si>
    <t>list=CZ-050496, list=FR-049318, list=FR-052081</t>
  </si>
  <si>
    <t>HCS43INCH20006W25V0</t>
  </si>
  <si>
    <t>HCS60INCH400083LFV0</t>
  </si>
  <si>
    <t>CSNU8543508, FFAU2882889, TGBU8682068, UETU5958499</t>
  </si>
  <si>
    <t>list=FR-049318, list=FR-049319, list=IT-049334, list=IT-049336</t>
  </si>
  <si>
    <t>HCSDDJP12000QOPIX001V9</t>
  </si>
  <si>
    <t>HCSDDJP13500M06GW001V9</t>
  </si>
  <si>
    <t>HCSNZCLBQ16JCERB3001V0</t>
  </si>
  <si>
    <t>SLIDING HAMMER INTERNAL BEARING PULLER</t>
  </si>
  <si>
    <t>HDDBSL4TBTSZNBR2SV0</t>
  </si>
  <si>
    <t>EVENT-FLOORING</t>
  </si>
  <si>
    <t>HDGCDGSMJ12FTLOOQV0</t>
  </si>
  <si>
    <t>HDGMLXCKJBLMF6MCZ001V0</t>
  </si>
  <si>
    <t>PET DOOR</t>
  </si>
  <si>
    <t>MSMU8858857, UETU8215795</t>
  </si>
  <si>
    <t>Packing list=CZ-056027, Packing list=FR-054887</t>
  </si>
  <si>
    <t>HDGMLXCKJBLMH1YNK001V0</t>
  </si>
  <si>
    <t>HDGMLXCKJBLMKJCZ4001V0</t>
  </si>
  <si>
    <t>HDGMLXCKJBLMR7GGI001V0</t>
  </si>
  <si>
    <t>DOG DOOR</t>
  </si>
  <si>
    <t>HDGMLXCKJBLMYXN9B001V0</t>
  </si>
  <si>
    <t>HDMGMLXCKJBL7R8GZV0</t>
  </si>
  <si>
    <t>DOG-DOOR-FOR-SLIDING-DOOR</t>
  </si>
  <si>
    <t>MSMU8858857, TCLU5729903</t>
  </si>
  <si>
    <t>Packing list=CZ-056027, Packing list=FR-054888</t>
  </si>
  <si>
    <t>HDSMDGDGDM2D9X4QD001V0</t>
  </si>
  <si>
    <t>SIMPLE SLIDING BARN DOOR HARDWARE KIT</t>
  </si>
  <si>
    <t>HDSMDGDGDM2DO5VMP001V0</t>
  </si>
  <si>
    <t>HDSMDGDGDM2DY1WVM001V0</t>
  </si>
  <si>
    <t>HDSMDGDGDM3D5H9I2001V0</t>
  </si>
  <si>
    <t>HFBJ25KXXXSB00001002V2</t>
  </si>
  <si>
    <t>COMMERCIAL PANCAKE MACHINE</t>
  </si>
  <si>
    <t>8516609000</t>
  </si>
  <si>
    <t>HGCJSYGTWINF7OAX3001V0</t>
  </si>
  <si>
    <t>CANOPY BEDS</t>
  </si>
  <si>
    <t>HGJTFTJRMGLQ39MUK001V0</t>
  </si>
  <si>
    <t>DRYER VENT KIT</t>
  </si>
  <si>
    <t>3926909733</t>
  </si>
  <si>
    <t>HGJTYKGCCDKG0KA0T001V0</t>
  </si>
  <si>
    <t>HGJTYKGCCDKG2NIMD001V0</t>
  </si>
  <si>
    <t>HGJTYKGCCDKG6ZYF4V0</t>
  </si>
  <si>
    <t>HGJTYKGCCDKG8BSOE001V0</t>
  </si>
  <si>
    <t>HGJTYKGCCDKG8DVH7V0</t>
  </si>
  <si>
    <t>MSDU5115018, MSMU8753250</t>
  </si>
  <si>
    <t>Packing list=CZ-056446, Packing list=PL-056503</t>
  </si>
  <si>
    <t>HGJTYKGCCDKG9GZ7R001V0</t>
  </si>
  <si>
    <t>HGJTYKGCCDKGR97VI001V0</t>
  </si>
  <si>
    <t>HGJTYKGCCDKGRR654001V0</t>
  </si>
  <si>
    <t>HGJTYKGCCDKGZW4FNV0</t>
  </si>
  <si>
    <t>HGJTYKLLCDKLOT0K8V0</t>
  </si>
  <si>
    <t>MSBU7581677, MSDU5115018, TGBU9853870</t>
  </si>
  <si>
    <t>Packing list=CZ-056446, Packing list=IT-056491, Packing list=PL-056502</t>
  </si>
  <si>
    <t>HGJTYKTHCDKTP7IHQ001V0</t>
  </si>
  <si>
    <t>HGJTYKTHCDKTXCGV1V0</t>
  </si>
  <si>
    <t>CAIU7140710, MEDU7133728, MSBU7581677, MSMU7678871, TCNU1401533, TGBU9853870</t>
  </si>
  <si>
    <t>Packing list=CZ-056445, Packing list=FR-055407, Packing list=FR-056467, Packing list=IT-056491, Packing list=PL-055436, Packing list=PL-056502</t>
  </si>
  <si>
    <t>HGSLLHGSJXYC1UDZFV0</t>
  </si>
  <si>
    <t>PULL OUT CABINET ORGANIZER</t>
  </si>
  <si>
    <t>HHBHHB36YC10TEZZLV0</t>
  </si>
  <si>
    <t>GOLF STAND BAG</t>
  </si>
  <si>
    <t>CAAU6920828, MEDU8801415, MSBU7304672, MSMU8074217</t>
  </si>
  <si>
    <t>Packing list=CZ-056443, Packing list=FR-056464, Packing list=IT-056493, Packing list=PL-056499</t>
  </si>
  <si>
    <t>HJBWJX10KG20A453NV2</t>
  </si>
  <si>
    <t>WELDING POSITIONER</t>
  </si>
  <si>
    <t>HJBWJX30KG80ONXXLV2</t>
  </si>
  <si>
    <t>ROLLING MILL, WELDING POSITIONER</t>
  </si>
  <si>
    <t>HJDGQYCBD5-12U9P2V0</t>
  </si>
  <si>
    <t>PIPE  CLAMP</t>
  </si>
  <si>
    <t>7326909890, 8205700000</t>
  </si>
  <si>
    <t>HJDGQYCBDD2-6SEUMV0</t>
  </si>
  <si>
    <t>HJDLJPJTSL2ZHXD0P001V0</t>
  </si>
  <si>
    <t>WELDING HOSE REELS</t>
  </si>
  <si>
    <t>HJDLJPZXDHJJAM484001V0</t>
  </si>
  <si>
    <t>HJGKPZPHJGQBRRXPI001V0</t>
  </si>
  <si>
    <t>WEIGHT VEST PLATES</t>
  </si>
  <si>
    <t>HJGSPY00000000001V2</t>
  </si>
  <si>
    <t>SELF-LEVELING ROTARY LASER</t>
  </si>
  <si>
    <t>HJSBJPJ400VDHQ001O5</t>
  </si>
  <si>
    <t>BEAU4243644, CMAU6174540, FSCU8031100, MSCU4599790</t>
  </si>
  <si>
    <t>list=CZ-050498, list=FR-052081, list=IT-049338, list=PL-052083</t>
  </si>
  <si>
    <t>HJSTCQJDSYKCW5D63001V0</t>
  </si>
  <si>
    <t>DIRECT WELD-ON JACK</t>
  </si>
  <si>
    <t>HJSXLK3838INEASCG001V0</t>
  </si>
  <si>
    <t>CARGO RACK</t>
  </si>
  <si>
    <t>HJSXLK4740INWBFAWV0</t>
  </si>
  <si>
    <t>HKSXLKHJG463K5I39001V0</t>
  </si>
  <si>
    <t>HKSXLKHJG513C3H37001V0</t>
  </si>
  <si>
    <t>HKSXLKHJG643ZXAKF001V0</t>
  </si>
  <si>
    <t>HLQG60INCH66KDACE001V0</t>
  </si>
  <si>
    <t>HLQG60INCH66SB4AX001V0</t>
  </si>
  <si>
    <t>HLQG60INCH88Q81ST001V0</t>
  </si>
  <si>
    <t>CSNU8543508, FFAU2882889</t>
  </si>
  <si>
    <t>list=FR-049318, list=IT-049334</t>
  </si>
  <si>
    <t>HLQG70INCH116TVH8001V0</t>
  </si>
  <si>
    <t>HLRTMXGJHLMXS43GRV0</t>
  </si>
  <si>
    <t>HLRTMXHMLKJJJJ52CV0</t>
  </si>
  <si>
    <t>HLRTMXNXHLMXS5698V0</t>
  </si>
  <si>
    <t>HLXJTYHHLXJH98R2TV0</t>
  </si>
  <si>
    <t>GUITAR HARD CASE</t>
  </si>
  <si>
    <t>4202921500</t>
  </si>
  <si>
    <t>HLXJTYHHLXJHXE9DEV0</t>
  </si>
  <si>
    <t>HLZJXZB300604W8GIV0</t>
  </si>
  <si>
    <t>LOAD ARM FOR HOISTS</t>
  </si>
  <si>
    <t>FFAU2254455, MSCU4599790</t>
  </si>
  <si>
    <t>list=IT-052075, list=PL-052083</t>
  </si>
  <si>
    <t>HMHM2J72INCHQZXAK001V0</t>
  </si>
  <si>
    <t>SPONGE</t>
  </si>
  <si>
    <t>HNTSGJJS13002S4ZDV2</t>
  </si>
  <si>
    <t>FLOOR GRINDER</t>
  </si>
  <si>
    <t>HNTSGJJS1300C00IVV2</t>
  </si>
  <si>
    <t>HPJH60W15INCTSOK3001V0</t>
  </si>
  <si>
    <t>GARDEN FLOWER TRELLIS</t>
  </si>
  <si>
    <t>FFAU1763669, MSMU6450125, TCLU5196126</t>
  </si>
  <si>
    <t>Packing list=CZ-056444, Packing list=FR-056466, Packing list=IT-056492</t>
  </si>
  <si>
    <t>HPJH71W20INC35PE3001V0</t>
  </si>
  <si>
    <t>7326909890, 8302500000</t>
  </si>
  <si>
    <t>FFAU1763669, MSMU6450125, MSNU8909623, TCLU5196126</t>
  </si>
  <si>
    <t>Packing list=CZ-056444, Packing list=FR-056466, Packing list=IT-056492, Packing list=PL-056511</t>
  </si>
  <si>
    <t>HPJH71W20INC66DAK001V0</t>
  </si>
  <si>
    <t>HPJH71W20INCTEWK6001V0</t>
  </si>
  <si>
    <t>HPJH71W20INCZVXWH001V0</t>
  </si>
  <si>
    <t>HPJH87W20INCKNBF9001V0</t>
  </si>
  <si>
    <t>HPJH87W20INCLVZEJ001V0</t>
  </si>
  <si>
    <t>HPJH87W20INCS5U0O001V0</t>
  </si>
  <si>
    <t>HPJHX1JTH60WGXYFNV0</t>
  </si>
  <si>
    <t>HPJHX2JTH60WT4XPAV0</t>
  </si>
  <si>
    <t>HPJHX2JTH71WKVLCJV0</t>
  </si>
  <si>
    <t>HPJHX2JTH87W13N5YV0</t>
  </si>
  <si>
    <t>HPJHX4JTH87W88ZO1V0</t>
  </si>
  <si>
    <t>MSMU6450125, MSMU8087533, TCLU5196126</t>
  </si>
  <si>
    <t>Packing list=CZ-056444, Packing list=IT-056492, Packing list=PL-056501</t>
  </si>
  <si>
    <t>HPJHX6JTH71WWTFZ4V0</t>
  </si>
  <si>
    <t>HQTZOCPJPVC-8UNHDV2</t>
  </si>
  <si>
    <t>HOT AIR TOOL</t>
  </si>
  <si>
    <t>HR-1ZLSJ000000001V2</t>
  </si>
  <si>
    <t>CAIU8091272, FCIU8346047, TGHU6287929, TGHU9810798</t>
  </si>
  <si>
    <t>Packing list=CZ-055905, Packing list=FR-054749, Packing list=FR-054750, Packing list=PL-055927</t>
  </si>
  <si>
    <t>HSXJDDHDHDBDD09O9V0</t>
  </si>
  <si>
    <t>INTERLOCKING RUBBER PAD</t>
  </si>
  <si>
    <t>4016910000</t>
  </si>
  <si>
    <t>MEDU7093501, MEDU8298620</t>
  </si>
  <si>
    <t>Packing list=CZ-055902, Packing list=PL-054773</t>
  </si>
  <si>
    <t>HTHSJBDD6X102TY0FV0</t>
  </si>
  <si>
    <t>ELECTRIC WELDING BLANKET</t>
  </si>
  <si>
    <t>HWBDBDRGBDDKE0PHC001V7</t>
  </si>
  <si>
    <t>OUTDOOR WALL LIGHT</t>
  </si>
  <si>
    <t>HWBZHDPEJXZMOR2RE001V0</t>
  </si>
  <si>
    <t>OUTDOOR SIDE TABLES</t>
  </si>
  <si>
    <t>HWCJPCKTZBXGQAW77002V0</t>
  </si>
  <si>
    <t>OUTDOOR CABINET</t>
  </si>
  <si>
    <t>HWCJSCCJKBXG0ZDXI001V0</t>
  </si>
  <si>
    <t>HWCJSCCJKBXG6X3Y9001V0</t>
  </si>
  <si>
    <t>HWCJSCCJKTZBD0F5M002V0</t>
  </si>
  <si>
    <t>HWCJSCCJKTZBJ39UC002V0</t>
  </si>
  <si>
    <t>HWCJSCKTZBXGWLNGG002V0</t>
  </si>
  <si>
    <t>HWCWYSZBG5002W23QV9</t>
  </si>
  <si>
    <t>INFRARED THERMOMETER</t>
  </si>
  <si>
    <t>HWDDBSM42FT2K13M7001V0</t>
  </si>
  <si>
    <t>CORNHOLE SET</t>
  </si>
  <si>
    <t>HWZDYXDXXSYSM48PB001V0</t>
  </si>
  <si>
    <t>CAMPING FOLDING CHAIRS</t>
  </si>
  <si>
    <t>HWZDYXDXYLYSOKSV5001V0</t>
  </si>
  <si>
    <t>HWZDYXGBSTY1U8Y1E001V0</t>
  </si>
  <si>
    <t>HXFXCSBLBHXFJM702001V0</t>
  </si>
  <si>
    <t>HORIZONTAL RECTANGLE STAINED GLASS PANELS</t>
  </si>
  <si>
    <t>MEDU8801415, TCLU4986759</t>
  </si>
  <si>
    <t>Packing list=FR-056464, Packing list=PL-056500</t>
  </si>
  <si>
    <t>HXQGLJZJLMDGK0V34V0</t>
  </si>
  <si>
    <t>CHAIN SAW BRACKET, CHAINSAW SAWMILLS</t>
  </si>
  <si>
    <t>BEAU4243644, CMAU9767404, CSNU6554247, FFAU2882889, SELU4270474, UETU5958499</t>
  </si>
  <si>
    <t>list=CZ-050502, list=ES-049339, list=FR-049319, list=FR-050517, list=FR-052081, list=IT-049334</t>
  </si>
  <si>
    <t>HXQGLJZJLMDGKDA5DV0</t>
  </si>
  <si>
    <t>BEAU4243644, FFAU2882889, SELU4270474, UETU5958499</t>
  </si>
  <si>
    <t>list=ES-049339, list=FR-049319, list=FR-052081, list=IT-049334</t>
  </si>
  <si>
    <t>HXSMS-038BXJ00001V2</t>
  </si>
  <si>
    <t>CAAU5661620, CAIU7575647, FDCU0243422, MSMU5818830</t>
  </si>
  <si>
    <t>Packing list=CZ-055655, Packing list=CZ-055663, Packing list=PL-054556, Packing list=PL-054559</t>
  </si>
  <si>
    <t>HXZCLTJBZYX2Z6Y3K001V0</t>
  </si>
  <si>
    <t>PATIO BAR TABLE</t>
  </si>
  <si>
    <t>7326903000, 9403991090</t>
  </si>
  <si>
    <t>CAAU6920828, MSMU8950984</t>
  </si>
  <si>
    <t>Packing list=CZ-056443, Packing list=FR-056465</t>
  </si>
  <si>
    <t>HYCGCCGC5C1JW77SH001V0</t>
  </si>
  <si>
    <t>GARDEN FORK</t>
  </si>
  <si>
    <t>HYCWJCGC5C1J0LGD6001V0</t>
  </si>
  <si>
    <t>HYDJSHS4PCSZ44JBR001V0</t>
  </si>
  <si>
    <t>GARDEN STEPPING STONES</t>
  </si>
  <si>
    <t>HYDJSHS8PCSZB7AQE001V0</t>
  </si>
  <si>
    <t>HYDJSMS4PCSZ8Q0EP001V0</t>
  </si>
  <si>
    <t>HYDJSMS8PCSZU8E87001V0</t>
  </si>
  <si>
    <t>HYMRGXJS48YCSVDL7V0</t>
  </si>
  <si>
    <t>ARTIFICIAL TOPIARIES</t>
  </si>
  <si>
    <t>CAAU6920828</t>
  </si>
  <si>
    <t>Packing list=CZ-056443</t>
  </si>
  <si>
    <t>HYTCHCWGK22CKNARP001V0</t>
  </si>
  <si>
    <t>GARDEN TRAILERS</t>
  </si>
  <si>
    <t>HZXSJDD1212Y2YO2XV0</t>
  </si>
  <si>
    <t>CAAU6199835, FFAU2882889, SELU4270474, TEMU6360421, TEMU7049081</t>
  </si>
  <si>
    <t>list=CZ-050499, list=ES-049339, list=ES-049340, list=FR-049322, list=IT-049334</t>
  </si>
  <si>
    <t>HZXSJDD1212YAA9J2V0</t>
  </si>
  <si>
    <t>HZXSJDD1212YBKA1IV0</t>
  </si>
  <si>
    <t>HZXSJDD1212YJT8W2V0</t>
  </si>
  <si>
    <t>CAAU6199835, FFAU2882889, SELU4270474, TEMU6360421, TEMU7049081, TGHU6404666</t>
  </si>
  <si>
    <t>list=CZ-050497, list=CZ-050499, list=ES-049339, list=ES-049340, list=FR-049322, list=IT-049334</t>
  </si>
  <si>
    <t>HZXSJDD1212YP3ROIV0</t>
  </si>
  <si>
    <t>HZXSJDDHS12PQ3YS0V0</t>
  </si>
  <si>
    <t>HZXXGZTSZDS02K8W5V2</t>
  </si>
  <si>
    <t>MAKEUP-TRAIN-CASE</t>
  </si>
  <si>
    <t>HZXXLGS5H100K8BZXV0</t>
  </si>
  <si>
    <t>HZXXLGSDZJ00S1F5WV2</t>
  </si>
  <si>
    <t>J1000W8PCS6201KI0V2</t>
  </si>
  <si>
    <t>J24X18X36INCHUFT3V0</t>
  </si>
  <si>
    <t>CRSU9206051, MSCU4599790, MSMU7812851, SELU4270474, TIIU4570916</t>
  </si>
  <si>
    <t>list=CZ-050504, list=ES-049339, list=FR-050518, list=FR-052066, list=PL-052083</t>
  </si>
  <si>
    <t>J24X24X36INCHBGUAV0</t>
  </si>
  <si>
    <t>J30X30X36INCHMQ0DV0</t>
  </si>
  <si>
    <t>JBXBZ3300FT3AOCDOV0</t>
  </si>
  <si>
    <t>PLANT GROWING TENTS, WEED BARRIER FABRIC</t>
  </si>
  <si>
    <t>5407201100</t>
  </si>
  <si>
    <t>CSNU8543508, CSNU8950231, FFAU2882889, FSCU8031100, MSMU8224934, MSNU5563687, SELU4270474, TEMU6360421, TEMU7049081, TGBU8682068</t>
  </si>
  <si>
    <t>list=ES-049339, list=ES-049340, list=FR-049318, list=FR-049320, list=FR-049322, list=FR-052054, list=FR-052059, list=IT-049334, list=IT-049336, list=IT-049338</t>
  </si>
  <si>
    <t>JBXBZ4100FT3QM648V0</t>
  </si>
  <si>
    <t>WEED BARRIER</t>
  </si>
  <si>
    <t>5407201100, 6306120000</t>
  </si>
  <si>
    <t>JBXBZ6100FT370GONV0</t>
  </si>
  <si>
    <t>WEED BARRIER FABRIC</t>
  </si>
  <si>
    <t>CBHU9175188, CMAU9767404, FFAU2882889, MSMU8224934, SELU4270474, TEMU6360421, TGBU8682068</t>
  </si>
  <si>
    <t>list=CZ-050502, list=ES-049339, list=ES-049340, list=FR-052059, list=IT-049334, list=IT-049336, list=IT-049337</t>
  </si>
  <si>
    <t>JBZGB120FT1810KQ7001V0</t>
  </si>
  <si>
    <t>SHADE CLOTHS, SHADE NET</t>
  </si>
  <si>
    <t>CSNU8950231, FFAU2882889, MSBU7968460, TEMU6360421</t>
  </si>
  <si>
    <t>list=ES-049340, list=FR-049320, list=IT-049334, list=IT-052076</t>
  </si>
  <si>
    <t>JBZGB185GSM1NJXI8001V0</t>
  </si>
  <si>
    <t>SHADE CLOTHS</t>
  </si>
  <si>
    <t>JBZGB185GSM2B9JMN001V0</t>
  </si>
  <si>
    <t>CSNU8950231, FFAU2882889, TEMU6360421</t>
  </si>
  <si>
    <t>list=ES-049340, list=FR-049320, list=IT-049334</t>
  </si>
  <si>
    <t>JBZGB96FT185N15YX001V0</t>
  </si>
  <si>
    <t>JCJHSBM120LBIX0DQ001V0</t>
  </si>
  <si>
    <t>JCJHSLM120LB26P4P001V0</t>
  </si>
  <si>
    <t>JCKJCKMZ0000UCH8UV0</t>
  </si>
  <si>
    <t>CLAMPING TYPE</t>
  </si>
  <si>
    <t>JCQ15HPGSDTBA0FFA001V2</t>
  </si>
  <si>
    <t>DUST COLLECTOR</t>
  </si>
  <si>
    <t>8508190000</t>
  </si>
  <si>
    <t>CAAU6199835, CSNU6554247</t>
  </si>
  <si>
    <t>list=CZ-050499, list=FR-050517</t>
  </si>
  <si>
    <t>JCQ1HPBGSDTBJ3QA5001V2</t>
  </si>
  <si>
    <t>JCQ1HPLSDTBDG3TTT001V2</t>
  </si>
  <si>
    <t>JCQ2HPLSDTBDCDY4X001V2</t>
  </si>
  <si>
    <t>CAAU6199835, CSNU6554247, TEMU6360421</t>
  </si>
  <si>
    <t>list=CZ-050499, list=ES-049340, list=FR-050517</t>
  </si>
  <si>
    <t>JCQ3HPLSSTBDQD9VI002V2</t>
  </si>
  <si>
    <t>JCTHQ4YCJYPKK6UEY001V0</t>
  </si>
  <si>
    <t>JCTHQ6YCJYPKFZG4G001V0</t>
  </si>
  <si>
    <t>JCXHTZPLS3RC7E4E5001V0</t>
  </si>
  <si>
    <t>JDWG2INCH1644S7N7001V0</t>
  </si>
  <si>
    <t>GEO GRID</t>
  </si>
  <si>
    <t>FFAU2254455, TEMU6360421, TEMU7049081, TGHU9193042</t>
  </si>
  <si>
    <t>list=ES-049340, list=FR-049322, list=FR-052064, list=IT-052075</t>
  </si>
  <si>
    <t>JDWG2INCH179URD1G001V0</t>
  </si>
  <si>
    <t>JDWG2INCH27XJUJ5J001V0</t>
  </si>
  <si>
    <t>FFAU2254455, MSNU5329452, TGHU9193042</t>
  </si>
  <si>
    <t>list=FR-052064, list=FR-052068, list=IT-052075</t>
  </si>
  <si>
    <t>JDWG2INCH328XV8M0001V0</t>
  </si>
  <si>
    <t>JDWG3INCH25XZKTT6001V0</t>
  </si>
  <si>
    <t>JDWG4INCH17994HKK001V0</t>
  </si>
  <si>
    <t>JGJKJFTSJGJKATG7Y001V0</t>
  </si>
  <si>
    <t>MANHOLE COVER</t>
  </si>
  <si>
    <t>7309009000</t>
  </si>
  <si>
    <t>BMOU4007469</t>
  </si>
  <si>
    <t>Packing list=FR-054751</t>
  </si>
  <si>
    <t>JGJSQHS200FT58QWGV9</t>
  </si>
  <si>
    <t>LINE LIGHT RECEIVER</t>
  </si>
  <si>
    <t>JGSPYHG-YELLOW001V2</t>
  </si>
  <si>
    <t>JGSQXZTSS32M8AZ3MV0</t>
  </si>
  <si>
    <t>DRILL CORE BITS</t>
  </si>
  <si>
    <t>8467211000</t>
  </si>
  <si>
    <t>JGSQXZTSS50M1V8NXV0</t>
  </si>
  <si>
    <t>JGZ1092FT000GJL9O001V0</t>
  </si>
  <si>
    <t>BUBBLE-TENT</t>
  </si>
  <si>
    <t>JGZ11102FT00XN8FB001V0</t>
  </si>
  <si>
    <t>CAIU7140710, MSBU6615068, MSCU5085389, MSMU6450125</t>
  </si>
  <si>
    <t>Packing list=FR-055407, Packing list=IT-056490, Packing list=IT-056492, Packing list=PL-055437</t>
  </si>
  <si>
    <t>JGZ12111FT00M3C9I001V0</t>
  </si>
  <si>
    <t>JGZ15138FT007U0TF001V0</t>
  </si>
  <si>
    <t>JHPDYX10FTDCW8M10V0</t>
  </si>
  <si>
    <t>GEOMETRIC CLIMBER PLAY</t>
  </si>
  <si>
    <t>CAIU7751371, MEDU4464722, MSCU4594885, MSDU6211947, TCLU8016320</t>
  </si>
  <si>
    <t>Packing list=CZ-056026, Packing list=FR-054884, Packing list=FR-054885, Packing list=PL-054902, Packing list=PL-054903</t>
  </si>
  <si>
    <t>JHPDYX10FTHT5WB8CV0</t>
  </si>
  <si>
    <t>JHPDYX6FTWPJPTVU2V0</t>
  </si>
  <si>
    <t>JHPDZJ6FTWPJA3CK6001V0</t>
  </si>
  <si>
    <t>JJ1107A2YTGJVX001V0</t>
  </si>
  <si>
    <t>JJ1107A4YTGJVX001V0</t>
  </si>
  <si>
    <t>JJBYTCPBJHB236VS4V0</t>
  </si>
  <si>
    <t>FURNITURE DOLLIES</t>
  </si>
  <si>
    <t>JJTG28YCTZJCT3D1O001V0</t>
  </si>
  <si>
    <t>PANIC HARDWARE</t>
  </si>
  <si>
    <t>JJTG31YCBXGJ5ZWXI001V0</t>
  </si>
  <si>
    <t>JL6IN2WXPSJ2DXTXHV0</t>
  </si>
  <si>
    <t>PLATE CASTERS</t>
  </si>
  <si>
    <t>8302200090</t>
  </si>
  <si>
    <t>MSNU9759770</t>
  </si>
  <si>
    <t>Packing list=FR-055406</t>
  </si>
  <si>
    <t>JLBSDKQ245CME5VDO001V0</t>
  </si>
  <si>
    <t>RATCHET WRENCH KNOCKOUT PUNCH SET</t>
  </si>
  <si>
    <t>8467219900</t>
  </si>
  <si>
    <t>JLKGDKSY43YC2GY05001V9</t>
  </si>
  <si>
    <t>JLKGDKSY43YC6T279001V9</t>
  </si>
  <si>
    <t>JLKGDKSY43YCJTQOA001V9</t>
  </si>
  <si>
    <t>JLKGDKSY43YCWW3EE001V9</t>
  </si>
  <si>
    <t>JLKMQGGDS220V24CSV2</t>
  </si>
  <si>
    <t>AUTOMATIC CHICKEN COOP DOOR</t>
  </si>
  <si>
    <t>JLKXSGDNK9120FZ0BV2</t>
  </si>
  <si>
    <t>JLKXSGDNKJ10ZK6N8V2</t>
  </si>
  <si>
    <t>JLKXSGDNKJ950DXC6V2</t>
  </si>
  <si>
    <t>JLKXSGDNKJ9Y9ATFTV2</t>
  </si>
  <si>
    <t>JLKXSGDNKJ9YG8OQLV2</t>
  </si>
  <si>
    <t>JLKXSGDNKJ9YMATIOV2</t>
  </si>
  <si>
    <t>JLKXSGDNKJ9YU8BB7V2</t>
  </si>
  <si>
    <t>JLKXSGDNKJ9YXJXLGV2</t>
  </si>
  <si>
    <t>JLKXSGDNKJ9YZEEGTV2</t>
  </si>
  <si>
    <t>JLKXSGDNKJ9YZO2G3V2</t>
  </si>
  <si>
    <t>JLKXSGDNKJF36ALK7V2</t>
  </si>
  <si>
    <t>JLKXSGDNKJF5V7ZNKV2</t>
  </si>
  <si>
    <t>JLKYLJGGSL3TAME8TV0</t>
  </si>
  <si>
    <t>THE ARBOR PRESS</t>
  </si>
  <si>
    <t>8205510000, 8207301010</t>
  </si>
  <si>
    <t>JLLJQ4PCS2609NUP9V0</t>
  </si>
  <si>
    <t>RATCHET CHAIN BINDERS</t>
  </si>
  <si>
    <t>JLMMMFT10FTWCHZ9AV0</t>
  </si>
  <si>
    <t>DOOR SEALS SET</t>
  </si>
  <si>
    <t>JLMMMFT16FTD1ZPR8V0</t>
  </si>
  <si>
    <t>BEAU4243644, FSCU8031100, TGHU6404666</t>
  </si>
  <si>
    <t>list=CZ-050497, list=FR-052081, list=IT-049338</t>
  </si>
  <si>
    <t>JLMMMFT16FTWFBO5UV0</t>
  </si>
  <si>
    <t>CAAU6199835, FSCU8031100</t>
  </si>
  <si>
    <t>list=CZ-050499, list=IT-049338</t>
  </si>
  <si>
    <t>JLMMMFT20FTW014VWV0</t>
  </si>
  <si>
    <t>JLSDWGJJXKZX48KMR001V0</t>
  </si>
  <si>
    <t>PIPE BENDER</t>
  </si>
  <si>
    <t>JLSDWGJJXKZXCU7UC001V0</t>
  </si>
  <si>
    <t>JLSDWGJYYKZFAHXDS001V0</t>
  </si>
  <si>
    <t>JLSSSHLJLS1JUO4F3001V0</t>
  </si>
  <si>
    <t>BOX TRUCK SUPPORT</t>
  </si>
  <si>
    <t>JPC4MCXMXFGJQP2AI001V0</t>
  </si>
  <si>
    <t>JEEP TUBE DOORS</t>
  </si>
  <si>
    <t>JPJYGJB5J0005FPT8V0</t>
  </si>
  <si>
    <t>WINCH RECOVERY KIT</t>
  </si>
  <si>
    <t>JPS-100ACSBQXJX01V2</t>
  </si>
  <si>
    <t>ULTRASONIC CLEANERS</t>
  </si>
  <si>
    <t>8479893000</t>
  </si>
  <si>
    <t>JPS-20ACSBQXJ0001V2</t>
  </si>
  <si>
    <t>JPS-30ACSBQXJ0001V2</t>
  </si>
  <si>
    <t>8479893000, 8504102090</t>
  </si>
  <si>
    <t>JPS-40ACSBQXJ0001V2</t>
  </si>
  <si>
    <t>JPVC82X121PCSH8D9V0</t>
  </si>
  <si>
    <t>STRIP CURTAIN</t>
  </si>
  <si>
    <t>TEMU6360421, TGBU8682068</t>
  </si>
  <si>
    <t>list=ES-049340, list=IT-049336</t>
  </si>
  <si>
    <t>JPXKCSHCS12Y2U1VCV0</t>
  </si>
  <si>
    <t>WINCH SHACKLE</t>
  </si>
  <si>
    <t>5607499000</t>
  </si>
  <si>
    <t>MEDU7761426, MSDU8088467</t>
  </si>
  <si>
    <t>Packing list=CZ-055910, Packing list=PL-054772</t>
  </si>
  <si>
    <t>JPXKCSHJG34YVUQMSV0</t>
  </si>
  <si>
    <t>CMAU4731862, MSNU5329452</t>
  </si>
  <si>
    <t>list=CZ-050496, list=FR-052068</t>
  </si>
  <si>
    <t>JPXKHJG34YC434N1JV0</t>
  </si>
  <si>
    <t>FFAU2882889, MSBU7968460, MSNU5329452</t>
  </si>
  <si>
    <t>list=FR-052068, list=IT-049334, list=IT-052076</t>
  </si>
  <si>
    <t>JPXKHJG34YC4816P1V0</t>
  </si>
  <si>
    <t>MSBU7968460, MSNU5329452, SELU4270474</t>
  </si>
  <si>
    <t>list=ES-049339, list=FR-052068, list=IT-052076</t>
  </si>
  <si>
    <t>JPXKHJG34YC4VHK9KV0</t>
  </si>
  <si>
    <t>FFAU2882889, MSBU7968460, MSNU5329452, TEMU6360421</t>
  </si>
  <si>
    <t>list=ES-049340, list=FR-052068, list=IT-049334, list=IT-052076</t>
  </si>
  <si>
    <t>JPXKHSHCS12YQ7UTIV0</t>
  </si>
  <si>
    <t>JPXKHSHJG12YSLGW9V0</t>
  </si>
  <si>
    <t>JPXKHSHJG34Y0OPHAV0</t>
  </si>
  <si>
    <t>JPXKHSHJG58YAU684V0</t>
  </si>
  <si>
    <t>JPXKLSHCS12YYKH4YV0</t>
  </si>
  <si>
    <t>JPXKLSHJG34YTN0H5V0</t>
  </si>
  <si>
    <t>JQSTQPSJCGLGR13SAV0</t>
  </si>
  <si>
    <t>TIRE BEAD BREAKER</t>
  </si>
  <si>
    <t>CAAU6199835, CSNU6554247, MSBU7968460</t>
  </si>
  <si>
    <t>list=CZ-050499, list=FR-050517, list=IT-052076</t>
  </si>
  <si>
    <t>JQSTQPSJLHJLGPSH8V0</t>
  </si>
  <si>
    <t>JQWSQ5JLFXWJOB576001V0</t>
  </si>
  <si>
    <t>POULTRY FEEDER</t>
  </si>
  <si>
    <t>3926909890</t>
  </si>
  <si>
    <t>JRWJZXWMMAPPDZ08R001V9</t>
  </si>
  <si>
    <t>HEATED SOCKS</t>
  </si>
  <si>
    <t>6115969900</t>
  </si>
  <si>
    <t>JRXQHSJBXQMNSTA2SV2</t>
  </si>
  <si>
    <t>JSBSXHJ16327DG74KV0</t>
  </si>
  <si>
    <t>HEAVY DUTY GARAGE SHELVES</t>
  </si>
  <si>
    <t>JSBSXHJ18367ZVVUXV0</t>
  </si>
  <si>
    <t>JSBSXHJ184872WVXVV0</t>
  </si>
  <si>
    <t>JSBSXHJ24487H0A32V0</t>
  </si>
  <si>
    <t>JSBXSYXJYK1JZQGCS001V0</t>
  </si>
  <si>
    <t>PORTABLE FUEL TANKS</t>
  </si>
  <si>
    <t>CAAU5661620, DFSU6555268</t>
  </si>
  <si>
    <t>Packing list=CZ-055655, Packing list=PL-055705</t>
  </si>
  <si>
    <t>JSCDX1530INCI7BMT002V0</t>
  </si>
  <si>
    <t>CHICKEN NEST BOX</t>
  </si>
  <si>
    <t>JSCDX3045INCK7SDC002V0</t>
  </si>
  <si>
    <t>, CMAU4567738, CSNU7335475, TGBU8682068</t>
  </si>
  <si>
    <t>list=CZ-050495, list=ES-049341, list=FR-049325, list=IT-049336</t>
  </si>
  <si>
    <t>JSCDX3045INCT4Y3W002V0</t>
  </si>
  <si>
    <t>CBHU9175188, CMAU4567738, CSNU7335475, MSDU5652681</t>
  </si>
  <si>
    <t>list=CZ-050495, list=FR-049325, list=FR-052067, list=IT-049337</t>
  </si>
  <si>
    <t>JSCDXJS2GJ15PZUI4001V0</t>
  </si>
  <si>
    <t>, CAIU4763614, CBHU9175188, CSNU7335475, CSNU8950231, SELU4270474</t>
  </si>
  <si>
    <t>list=ES-049339, list=ES-049341, list=FR-049320, list=FR-049325, list=FR-052062, list=IT-049337</t>
  </si>
  <si>
    <t>JSCDXJS3GJ26OS4A9001V0</t>
  </si>
  <si>
    <t>, CBHU9175188, CSNU7335475, CSNU8950231, SELU4270474</t>
  </si>
  <si>
    <t>list=ES-049339, list=ES-049341, list=FR-049320, list=FR-049325, list=IT-049337</t>
  </si>
  <si>
    <t>JSCDXJS4GJ26YRAG9001V0</t>
  </si>
  <si>
    <t>, CBHU9175188, CSNU5799944, CSNU7335475, SELU4270474</t>
  </si>
  <si>
    <t>list=ES-049339, list=ES-049341, list=FR-049321, list=FR-049325, list=IT-049337</t>
  </si>
  <si>
    <t>JSCDXJS6GJ30C5Y22001V0</t>
  </si>
  <si>
    <t>, CSNU5799944, CSNU8719578, MSDU5652681, SELU4270474, TGBU8682068</t>
  </si>
  <si>
    <t>list=ES-049339, list=ES-049341, list=FR-049321, list=FR-049324, list=FR-052067, list=IT-049336</t>
  </si>
  <si>
    <t>JSCDXJS8GJ38HU01U001V0</t>
  </si>
  <si>
    <t>, CBHU9175188, CMAU4567738, CSNU5799944, CSNU7335475, SELU4270474</t>
  </si>
  <si>
    <t>list=CZ-050495, list=ES-049339, list=ES-049341, list=FR-049321, list=FR-049325, list=IT-049337</t>
  </si>
  <si>
    <t>JSCYXDFGPYXD3662O001V0</t>
  </si>
  <si>
    <t>METAL DINING CHAIRS</t>
  </si>
  <si>
    <t>JSFXZZC841FT5G8H1001V0</t>
  </si>
  <si>
    <t>RAISED GARDEN BED</t>
  </si>
  <si>
    <t>JSFXZZC841FT6MVQ8002V0</t>
  </si>
  <si>
    <t>MSBU8068680, MSDU8450658, TXGU8904131</t>
  </si>
  <si>
    <t>Packing list=CZ-054518, Packing list=CZ-054519, Packing list=PL-054562</t>
  </si>
  <si>
    <t>JSFXZZC842FTKYTTL001V0</t>
  </si>
  <si>
    <t>JSFXZZC843FTICV7H001V0</t>
  </si>
  <si>
    <t>JSFXZZCZFXSHLZRC4002V0</t>
  </si>
  <si>
    <t>JSFXZZCZFXSLG0SR1002V0</t>
  </si>
  <si>
    <t>JSGSWL24IN509K581V0</t>
  </si>
  <si>
    <t>WELDED WIRE FENCES</t>
  </si>
  <si>
    <t>JSGSWL36IN10LR9PIV0</t>
  </si>
  <si>
    <t>TCNU2185423</t>
  </si>
  <si>
    <t>list=CZ-050503</t>
  </si>
  <si>
    <t>JSGSWL36IN50LQ843V0</t>
  </si>
  <si>
    <t>3926909733, 7408110000</t>
  </si>
  <si>
    <t>, TIIU4570916</t>
  </si>
  <si>
    <t>list=ES-049341, list=FR-050518</t>
  </si>
  <si>
    <t>JSGSWL48IN10WPK5OV0</t>
  </si>
  <si>
    <t>TCNU2185423, TIIU4570916</t>
  </si>
  <si>
    <t>list=CZ-050503, list=FR-050518</t>
  </si>
  <si>
    <t>JSGSWL48IN50LQO4LV0</t>
  </si>
  <si>
    <t>JSHWBCTC5565WNHR1V0</t>
  </si>
  <si>
    <t>OUTDOOR GRILL CART</t>
  </si>
  <si>
    <t>JSHWBCTC85551FX8BV0</t>
  </si>
  <si>
    <t>JSHWZDSCWAQP39ZKL001V0</t>
  </si>
  <si>
    <t>METAL OUTDOOR DOG RAMP</t>
  </si>
  <si>
    <t>7616991010</t>
  </si>
  <si>
    <t>MSMU6966528, TCNU7822627</t>
  </si>
  <si>
    <t>Packing list=FR-054889, Packing list=PL-056044</t>
  </si>
  <si>
    <t>JSHWZDSCWAQP47SCS001V0</t>
  </si>
  <si>
    <t>JSHWZDSCWAQP9LQ8P001V0</t>
  </si>
  <si>
    <t>JSHWZDSCWAQPJ4B65001V0</t>
  </si>
  <si>
    <t>JSHWZDSCWAQPMQRB6001V0</t>
  </si>
  <si>
    <t>JSJXMB1212INZECFM001V0</t>
  </si>
  <si>
    <t>ACCESS PANEL</t>
  </si>
  <si>
    <t>CAIU7140710, MSCU5085389</t>
  </si>
  <si>
    <t>Packing list=FR-055407, Packing list=IT-056490</t>
  </si>
  <si>
    <t>JSJXMB1224NCUDFR6001V0</t>
  </si>
  <si>
    <t>JSJXMB1414INXHCYG001V0</t>
  </si>
  <si>
    <t>JSJXMB1429IN7LPR9001V0</t>
  </si>
  <si>
    <t>JSJXMB1624IN1SY3V001V0</t>
  </si>
  <si>
    <t>JSJXMB1818INO7ZVY001V0</t>
  </si>
  <si>
    <t>JSJXMB2424IN4UBGI001V0</t>
  </si>
  <si>
    <t>JSJXMB3224INPM1WW001V0</t>
  </si>
  <si>
    <t>JSJYCSYBCYQYXIOMQ001V0</t>
  </si>
  <si>
    <t>METAL FUEL CADDY</t>
  </si>
  <si>
    <t>JSKMQCSSKGDCNGEKL001V9</t>
  </si>
  <si>
    <t>CHICKEN COOP DOOR OPENER</t>
  </si>
  <si>
    <t>JSKMQHSSKCDDP9O26001V2</t>
  </si>
  <si>
    <t>JSKMQHSSKGDCAG9SN001V9</t>
  </si>
  <si>
    <t>JSMNCC220X750-001V2</t>
  </si>
  <si>
    <t>JSQCDPPSPVC2L0LI6001V0</t>
  </si>
  <si>
    <t>EXERCISE EQUIPMENT MAT</t>
  </si>
  <si>
    <t>3920108990</t>
  </si>
  <si>
    <t>JSQCDPPSPVC38VK06001V0</t>
  </si>
  <si>
    <t>JSQCDPPSPVC3G5JHT001V0</t>
  </si>
  <si>
    <t>JSQCDPPSPVC3PBB3J001V0</t>
  </si>
  <si>
    <t>MSDU8279268, MSDU8587147, TXGU6715988</t>
  </si>
  <si>
    <t>Packing list=CZ-054516, Packing list=CZ-055660, Packing list=PL-055706</t>
  </si>
  <si>
    <t>JSQCDPPSPVC3PHD5R001V0</t>
  </si>
  <si>
    <t>MSDU8279268, TXGU6715988, UETU7550736</t>
  </si>
  <si>
    <t>Packing list=CZ-055659, Packing list=CZ-055660, Packing list=PL-055706</t>
  </si>
  <si>
    <t>JSQCDPPSPVC3WIYAU001V0</t>
  </si>
  <si>
    <t>JSQCDZDSPVC27O92I001V0</t>
  </si>
  <si>
    <t>JSSDSDYZXHS2ZFR21001V0</t>
  </si>
  <si>
    <t>FIT SANDBAG</t>
  </si>
  <si>
    <t>5402110000</t>
  </si>
  <si>
    <t>MEDU4464722, MSDU6211947, TCLU8016320</t>
  </si>
  <si>
    <t>Packing list=CZ-056026, Packing list=FR-054884, Packing list=PL-054902</t>
  </si>
  <si>
    <t>JSSWDPCS250YXWEIKV0</t>
  </si>
  <si>
    <t>RAZOR WIRE</t>
  </si>
  <si>
    <t>JSTCQMD30104JT001V0</t>
  </si>
  <si>
    <t>METAL DETECTOR</t>
  </si>
  <si>
    <t>JSWL2413INCHNOKRCV0</t>
  </si>
  <si>
    <t>METAL GARDEN FENCE</t>
  </si>
  <si>
    <t>JSWL2413INCHO06VPV0</t>
  </si>
  <si>
    <t>JSYHZZC421FT2BQAH002V0</t>
  </si>
  <si>
    <t>JSYHZZC421FTT3A51001V0</t>
  </si>
  <si>
    <t>JSYHZZCTYXDXJLX6Y002V0</t>
  </si>
  <si>
    <t>JSYHZZCTYXSH1MOSL002V0</t>
  </si>
  <si>
    <t>JSYHZZCTYXSH2CQH0002V0</t>
  </si>
  <si>
    <t>JSYHZZCYXMWSUWJG4002V0</t>
  </si>
  <si>
    <t>JSZDYPGJS4BZVQH4W001V0</t>
  </si>
  <si>
    <t>METAL FOLDING CHAIRS</t>
  </si>
  <si>
    <t>9401991090</t>
  </si>
  <si>
    <t>JSZKTJS15GALP3ARI001V0</t>
  </si>
  <si>
    <t>VACUUM CHAMBER</t>
  </si>
  <si>
    <t>7310299010</t>
  </si>
  <si>
    <t>JSZKTJS3GALLW03QAV0</t>
  </si>
  <si>
    <t>JSZKTJS5GALLH3CGUV0</t>
  </si>
  <si>
    <t>JSZKTJS9GALGIJ5AH001V0</t>
  </si>
  <si>
    <t>JSZXTC880LBSPVWN9V0</t>
  </si>
  <si>
    <t>STEEL DUMP GARDEN</t>
  </si>
  <si>
    <t>JT1CGKYKL46IHZ6BL001V0</t>
  </si>
  <si>
    <t>JTBDMDMW36H8PVQLX001V0</t>
  </si>
  <si>
    <t>SWINGING DOORS</t>
  </si>
  <si>
    <t>7308300000</t>
  </si>
  <si>
    <t>JTHBC2L8INCH1GYWN001V0</t>
  </si>
  <si>
    <t>KICK SCOOTERS</t>
  </si>
  <si>
    <t>8716391000</t>
  </si>
  <si>
    <t>JTHBC2L8INCH4CZ4L001V0</t>
  </si>
  <si>
    <t>JTHBC2L8INCHDQ0I0001V0</t>
  </si>
  <si>
    <t>JTSLSBYC1J154ZOVUV0</t>
  </si>
  <si>
    <t>WHEEL DOLLIES</t>
  </si>
  <si>
    <t>JTSLSBYC1J15C4BCJV0</t>
  </si>
  <si>
    <t>JXDDTSM8X10F3M1OV001V0</t>
  </si>
  <si>
    <t>CARPET</t>
  </si>
  <si>
    <t>5703391000</t>
  </si>
  <si>
    <t>JXDDTSM8X10FS61MV001V0</t>
  </si>
  <si>
    <t>JXDDTSM8X10FT7FHU001V0</t>
  </si>
  <si>
    <t>JXGJ143812SAEFGIH002V0</t>
  </si>
  <si>
    <t>MECHANICS TOOL SET</t>
  </si>
  <si>
    <t>8206000000</t>
  </si>
  <si>
    <t>JXJTYHJXJHBBVUUYRV0</t>
  </si>
  <si>
    <t>JXJTYHJXJHBDYEWZQV0</t>
  </si>
  <si>
    <t>JXKSC25FT14IN9TZMV0</t>
  </si>
  <si>
    <t>MECHANICAL HAND-HELD PIPE DREDGER</t>
  </si>
  <si>
    <t>JXKSC25FT14INJ1BPV0</t>
  </si>
  <si>
    <t>JXMBD1616INCHFEELV0</t>
  </si>
  <si>
    <t>ACCESS DOOR</t>
  </si>
  <si>
    <t>JXMBD2424INCHSQQJV0</t>
  </si>
  <si>
    <t>CAIU7140710, MSCU5085389, TCLU5196126</t>
  </si>
  <si>
    <t>Packing list=CZ-056444, Packing list=FR-055407, Packing list=IT-056490</t>
  </si>
  <si>
    <t>JXMMSBMAZSZMD0O8HV0</t>
  </si>
  <si>
    <t>MECHANICAL KEYLESS DOOR LOCK</t>
  </si>
  <si>
    <t>8301401900</t>
  </si>
  <si>
    <t>CAAU6920828, MEDU8801415, MSBU6615068, MSCU5085389</t>
  </si>
  <si>
    <t>Packing list=CZ-056443, Packing list=FR-056464, Packing list=IT-056490, Packing list=PL-055437</t>
  </si>
  <si>
    <t>JXMMSBMAZSZMEOO20V0</t>
  </si>
  <si>
    <t>JXMMSHSSBXNQL0655001V0</t>
  </si>
  <si>
    <t>CAAU6920828, MEDU8801415, MSCU5085389</t>
  </si>
  <si>
    <t>Packing list=CZ-056443, Packing list=FR-056464, Packing list=IT-056490</t>
  </si>
  <si>
    <t>JXMMSQRSSZMM4OC12V0</t>
  </si>
  <si>
    <t>JXMMSQRSSZMM8DYARV0</t>
  </si>
  <si>
    <t>JXMMSQRSSZMM988L0V0</t>
  </si>
  <si>
    <t>JXMMSQRSSZMMDZSMAV0</t>
  </si>
  <si>
    <t>CAAU6920828, CAIU7140710, MSBU6615068, MSCU5085389</t>
  </si>
  <si>
    <t>Packing list=CZ-056443, Packing list=FR-055407, Packing list=IT-056490, Packing list=PL-055437</t>
  </si>
  <si>
    <t>JXMMSQRSSZMMUEQJ6V0</t>
  </si>
  <si>
    <t>JXMMSYCQTSSBBZY3A001V0</t>
  </si>
  <si>
    <t>JXMMSYCQTSSBY0UFP001V0</t>
  </si>
  <si>
    <t>JXMMSYCQTSXNUR942001V0</t>
  </si>
  <si>
    <t>JXMMSYSQXQRSNIU67001V0</t>
  </si>
  <si>
    <t>JXMMSYSSBQRSX06ZI001V0</t>
  </si>
  <si>
    <t>JXMMSYSSBXNQAVMDZV0</t>
  </si>
  <si>
    <t>MSBU6615068, MSCU5085389, MSMU7678871, MSMU8950984</t>
  </si>
  <si>
    <t>Packing list=CZ-056445, Packing list=FR-056465, Packing list=IT-056490, Packing list=PL-055437</t>
  </si>
  <si>
    <t>JXMXJMCCLXBZS0001V0</t>
  </si>
  <si>
    <t>MSMU6966528</t>
  </si>
  <si>
    <t>Packing list=FR-054889</t>
  </si>
  <si>
    <t>JXPJXPTMAZBS0X9RG001V0</t>
  </si>
  <si>
    <t>VESSEL SINK</t>
  </si>
  <si>
    <t>JXPJXPTXAZBSUC4SN001V0</t>
  </si>
  <si>
    <t>JXSPC78INCH42T7D1V0</t>
  </si>
  <si>
    <t>BUBBLE LEVEL</t>
  </si>
  <si>
    <t>9015301000</t>
  </si>
  <si>
    <t>CAIU7575647, FDCU0243422, UETU7550736</t>
  </si>
  <si>
    <t>Packing list=CZ-055659, Packing list=CZ-055663, Packing list=PL-054559</t>
  </si>
  <si>
    <t>JXSQJPZS8Z002XKG0V9</t>
  </si>
  <si>
    <t>JXTDDTSM9X123NIUR001V0</t>
  </si>
  <si>
    <t>JXYBZ3T11G0050BLLV0</t>
  </si>
  <si>
    <t>HYDRAULIC PRESSURE TEST KIT</t>
  </si>
  <si>
    <t>9031200000</t>
  </si>
  <si>
    <t>JXYBZ5T13G0031N8JV0</t>
  </si>
  <si>
    <t>JXYDHBGYDXL4TAGOBV0</t>
  </si>
  <si>
    <t>MACHINERY MOVER</t>
  </si>
  <si>
    <t>FFAU2882889, MSBU7968460, MSMU7812851, TEMU6360421</t>
  </si>
  <si>
    <t>list=ES-049340, list=FR-052066, list=IT-049334, list=IT-052076</t>
  </si>
  <si>
    <t>JXYDHBGYWXL5LY22WV0</t>
  </si>
  <si>
    <t>FFAU2882889, MSBU7968460, TEMU6360421</t>
  </si>
  <si>
    <t>list=ES-049340, list=IT-049334, list=IT-052076</t>
  </si>
  <si>
    <t>JXZXDTSM5X8FIY14O001V0</t>
  </si>
  <si>
    <t>CSNU8950231, SELU4270474, TEMU7049081</t>
  </si>
  <si>
    <t>list=ES-049339, list=FR-049320, list=FR-049322</t>
  </si>
  <si>
    <t>JXZXDTSM6X9FYV2LW001V0</t>
  </si>
  <si>
    <t>JYBQLJ2KTYSJ0T1GSV2</t>
  </si>
  <si>
    <t>LCE CREAM MAKER</t>
  </si>
  <si>
    <t>MSNU9759770, TCLU9113325</t>
  </si>
  <si>
    <t>Packing list=FR-055406, Packing list=IT-055414</t>
  </si>
  <si>
    <t>JYCYJDEDDLAXVCUTB001V0</t>
  </si>
  <si>
    <t>SIMPLE STYLE GARMENT RACK</t>
  </si>
  <si>
    <t>JYGJTZJYGJTZLGM0NV0</t>
  </si>
  <si>
    <t>INSULATED TOOL SET</t>
  </si>
  <si>
    <t>JYKCYJ2838122UE86V0</t>
  </si>
  <si>
    <t>JYKCYJ3848111P4UWV0</t>
  </si>
  <si>
    <t>JYKCYJ3848123WVQNV0</t>
  </si>
  <si>
    <t>JYKCYJ4858221BPVDV0</t>
  </si>
  <si>
    <t>JYKHTXW6FT6F2R0KJ001V0</t>
  </si>
  <si>
    <t>BEACH CABANA</t>
  </si>
  <si>
    <t>6601999000</t>
  </si>
  <si>
    <t>JYKHTXW6FT6F3F2LS001V0</t>
  </si>
  <si>
    <t>JYKHTXW6FT6FK05K8001V0</t>
  </si>
  <si>
    <t>JYKHTXW6FT6FQIVSO001V0</t>
  </si>
  <si>
    <t>JYLJ172CFTBSXLUXPV2</t>
  </si>
  <si>
    <t>CHEST FREEZER</t>
  </si>
  <si>
    <t>8418302091</t>
  </si>
  <si>
    <t>JYLQQCXGJJT140069V0</t>
  </si>
  <si>
    <t>CUP TYPE OIL FILTER WRENCH SET</t>
  </si>
  <si>
    <t>JYLQQCXGJJT308IOLV0</t>
  </si>
  <si>
    <t>JYTMDGLCB210WJKZRV2</t>
  </si>
  <si>
    <t>FRIED ICE CREAM ROLL MACHINE</t>
  </si>
  <si>
    <t>JYXBHMTM36YC4NTY6V0</t>
  </si>
  <si>
    <t>CARPET PROTECTION FILM</t>
  </si>
  <si>
    <t>3920102410</t>
  </si>
  <si>
    <t>, CMAU4567738, TGBU8682068</t>
  </si>
  <si>
    <t>list=CZ-050495, list=ES-049341, list=IT-049336</t>
  </si>
  <si>
    <t>JYXBXSHWCW230ZYWEV0</t>
  </si>
  <si>
    <t>OUTDOOR STORAGE BOX</t>
  </si>
  <si>
    <t>4202929810</t>
  </si>
  <si>
    <t>JYZXCTFJHSHJ435N7001V0</t>
  </si>
  <si>
    <t>BIKE RACK</t>
  </si>
  <si>
    <t>JYZXCTFJHSHJ90BL0001V0</t>
  </si>
  <si>
    <t>JYZXCTFJHSHJVBGSV001V0</t>
  </si>
  <si>
    <t>JYZXCTFJXCLSDGQ4P001V0</t>
  </si>
  <si>
    <t>JZHCTCXS72INS02AQV0</t>
  </si>
  <si>
    <t>EXTENDED FORK SLEEVE, FORK EXTENSIONS</t>
  </si>
  <si>
    <t>JZHCTYTS72IN6IP5LV0</t>
  </si>
  <si>
    <t>FORK EXTENSIONS</t>
  </si>
  <si>
    <t>JZHCTYTS72INW4087V0</t>
  </si>
  <si>
    <t>FFAU2882889, TEMU6360421</t>
  </si>
  <si>
    <t>list=ES-049340, list=IT-049334</t>
  </si>
  <si>
    <t>JZHCTYTS84IN89VTOV0</t>
  </si>
  <si>
    <t>JZHCTYTS84INMIFS9V0</t>
  </si>
  <si>
    <t>EXTENDED FORK SLEEVE</t>
  </si>
  <si>
    <t>JZHCTYTS96IN5VD6DV0</t>
  </si>
  <si>
    <t>CSNU6554247, FFAU2882889, MSBU7968460</t>
  </si>
  <si>
    <t>list=FR-050517, list=IT-049334, list=IT-052076</t>
  </si>
  <si>
    <t>JZLKOZ20J30JUZVKZ001V2</t>
  </si>
  <si>
    <t>ELECTRIC FENCE CHARGER</t>
  </si>
  <si>
    <t>8543709099</t>
  </si>
  <si>
    <t>JZPVC82X81PCSWOI7V0</t>
  </si>
  <si>
    <t>3920439090</t>
  </si>
  <si>
    <t>TCLU7779061</t>
  </si>
  <si>
    <t>list=FR-052055</t>
  </si>
  <si>
    <t>JZPVCML101FTG54HR001V0</t>
  </si>
  <si>
    <t>PVC DOOR CURTAIN</t>
  </si>
  <si>
    <t>JZPVCML150FT6TWDI001V0</t>
  </si>
  <si>
    <t>JZQJDWQBKXZ2XSCS5V0</t>
  </si>
  <si>
    <t>TOE JACK</t>
  </si>
  <si>
    <t>JZQJDWQBKXZ5B0XAJV0</t>
  </si>
  <si>
    <t>JZSJJZXSJS008GPZVV0</t>
  </si>
  <si>
    <t>ALUMINUM ELEVATING TRIPOD</t>
  </si>
  <si>
    <t>CAIU8091272, TGHU9810798</t>
  </si>
  <si>
    <t>Packing list=CZ-055905, Packing list=FR-054749</t>
  </si>
  <si>
    <t>JZSJJZYSSTS02U6QMV0</t>
  </si>
  <si>
    <t>CONTRACTOR ALUMINUM TRIPOD</t>
  </si>
  <si>
    <t>JZWZHDSTSGWCGSTOA001V9</t>
  </si>
  <si>
    <t>SHOPPING CART FOR KIDS</t>
  </si>
  <si>
    <t>JZXCLZ655INC6KB55001V0</t>
  </si>
  <si>
    <t>CONTAINER HALF AXLE</t>
  </si>
  <si>
    <t>8708939000</t>
  </si>
  <si>
    <t>JZXCLZ865INCC5Z76001V0</t>
  </si>
  <si>
    <t>JZXQJDSJQ2JHLJX0Y001V0</t>
  </si>
  <si>
    <t>CONTAINER HALF AXLE ASSEMBLY</t>
  </si>
  <si>
    <t>JZXWDTLS1.8X9M001V0</t>
  </si>
  <si>
    <t>MARINE CARPET</t>
  </si>
  <si>
    <t>5702420000</t>
  </si>
  <si>
    <t>KBBYQYJPS3004YRHCV2</t>
  </si>
  <si>
    <t>CONTACT VOLTAGE REGULATOR</t>
  </si>
  <si>
    <t>KBJPJTJBXG12PZKOKV0</t>
  </si>
  <si>
    <t>SUBLIMATION TUMBLERS</t>
  </si>
  <si>
    <t>9617000000</t>
  </si>
  <si>
    <t>KBJPJTJBXG8JMITWI001V0</t>
  </si>
  <si>
    <t>KBKETCZSTCDSBXBCC001V9</t>
  </si>
  <si>
    <t>RIDE ON CAR</t>
  </si>
  <si>
    <t>KBKETCZSTCKTZR8C4V9</t>
  </si>
  <si>
    <t>KIDS RIDE ON PUSH CAR</t>
  </si>
  <si>
    <t>KBZLPM2PCS42NFXTB001V0</t>
  </si>
  <si>
    <t>KCGTTJHJ6010496T3V0</t>
  </si>
  <si>
    <t>DUMP TARP ROLLER KIT</t>
  </si>
  <si>
    <t>KCJSCMGXBJ3JT0001V2</t>
  </si>
  <si>
    <t>ELECTRIC TRIMMER</t>
  </si>
  <si>
    <t>8465920000</t>
  </si>
  <si>
    <t>KCJSCMGXBJ4JT0001V2</t>
  </si>
  <si>
    <t>KCLJGJXCKCBDDMP3IV0</t>
  </si>
  <si>
    <t>TRUCK BED STORAGE TOOL BOX</t>
  </si>
  <si>
    <t>CAIU8407170, MSMU7674578</t>
  </si>
  <si>
    <t>Packing list=CZ-056029, Packing list=PL-054906</t>
  </si>
  <si>
    <t>KCLJGJXJSYCBDIFK7V0</t>
  </si>
  <si>
    <t>KCPVC8X1818OZJ8JQV0</t>
  </si>
  <si>
    <t>DUMP TRUCK MESH TARP</t>
  </si>
  <si>
    <t>KCSSLSHL400LMHVUF001V0</t>
  </si>
  <si>
    <t>DEER HOIST</t>
  </si>
  <si>
    <t>CMAU3392208, TEMU7049081</t>
  </si>
  <si>
    <t>list=CZ-050500, list=FR-049322</t>
  </si>
  <si>
    <t>KCSSLSHL600LDZE1M001V0</t>
  </si>
  <si>
    <t>MSMU8224934, TEMU6360421, TEMU7049081</t>
  </si>
  <si>
    <t>list=ES-049340, list=FR-049322, list=FR-052059</t>
  </si>
  <si>
    <t>KCTJBZDS2009Q4BQ4V0</t>
  </si>
  <si>
    <t>TRUCK RUNNING BOARDS</t>
  </si>
  <si>
    <t>KCXFKDT2020YI2QM3V0</t>
  </si>
  <si>
    <t>CARPET TILES</t>
  </si>
  <si>
    <t>KCXFKDT2020YPI6HYV0</t>
  </si>
  <si>
    <t>KCXFKDT2424YO1I6PV0</t>
  </si>
  <si>
    <t>KCZQGJMSDIY04NJZS002V0</t>
  </si>
  <si>
    <t>MANUAL TILE CUTTER</t>
  </si>
  <si>
    <t>KDDMZJDCZJ90CZ0JYV0</t>
  </si>
  <si>
    <t>MINI SPLIT STAND</t>
  </si>
  <si>
    <t>KDDMZJSCZJ9022BS6V0</t>
  </si>
  <si>
    <t>KDGJTB12YCSLO4QFT001V0</t>
  </si>
  <si>
    <t>KDGJTB13YCSLYIDCS001V0</t>
  </si>
  <si>
    <t>KDGJTB16YCSLJD3XR001V0</t>
  </si>
  <si>
    <t>KDGJTB16YCWDUTLDS001V0</t>
  </si>
  <si>
    <t>FCIU8346047, GLDU7246065, MSDU8088467, TCNU7880515</t>
  </si>
  <si>
    <t>Packing list=CZ-055906, Packing list=FR-054752, Packing list=PL-054772, Packing list=PL-055927</t>
  </si>
  <si>
    <t>KDJQXKQX0000M1EWPV0</t>
  </si>
  <si>
    <t>ROLLING GARDEN SEAT</t>
  </si>
  <si>
    <t>CMAU4731862, FSCU8031100, MSNU5329452</t>
  </si>
  <si>
    <t>list=CZ-050496, list=FR-052068, list=IT-049338</t>
  </si>
  <si>
    <t>KDJSLZFSHSZW9HILGV0</t>
  </si>
  <si>
    <t>KDJZLKXFMD20BSAUAV0</t>
  </si>
  <si>
    <t>ADJUSTABLE WEIGHT,ADJUSTABLE WEIGHT MODEL</t>
  </si>
  <si>
    <t>KDJZXKZX0000VA4IPV0</t>
  </si>
  <si>
    <t>KDLKPLTHXCFMYLYB8V0</t>
  </si>
  <si>
    <t>PILATES REFORMER</t>
  </si>
  <si>
    <t>KFSJJH12U2340SDYTV0</t>
  </si>
  <si>
    <t>ADJUSTABLE OPEN FRAME SERVER RACK</t>
  </si>
  <si>
    <t>KFSJJH15U2340IWPXV0</t>
  </si>
  <si>
    <t>KFSJJH20U2340PHVWV0</t>
  </si>
  <si>
    <t>MEDU4464722, MSNU9783205</t>
  </si>
  <si>
    <t>Packing list=FR-054884, Packing list=PL-054904</t>
  </si>
  <si>
    <t>KFSJJHS20UW2U3MER001V0</t>
  </si>
  <si>
    <t>OPEN FRAME SERVER RACK</t>
  </si>
  <si>
    <t>KFSJJHS9UJL25B27FV0</t>
  </si>
  <si>
    <t>KGQ30CMBXGZJRXFF5003V0</t>
  </si>
  <si>
    <t>COMMERCIAL CAN OPENER</t>
  </si>
  <si>
    <t>KGQ40CMBXGZJMDFV2003V0</t>
  </si>
  <si>
    <t>KJ5FT11FTKDSOYLS8001V0</t>
  </si>
  <si>
    <t>YOGA STAND FRAME</t>
  </si>
  <si>
    <t>KJSYGZYTLSLKW6CAD001V0</t>
  </si>
  <si>
    <t>KJSYJCCGKJKHJYNJ4001V0</t>
  </si>
  <si>
    <t>KJSYJCCGKJKHRRL01001V0</t>
  </si>
  <si>
    <t>KJZP431MCQWZUXN7IV0</t>
  </si>
  <si>
    <t>YURT</t>
  </si>
  <si>
    <t>KJZP4836MCQWH0L5TV0</t>
  </si>
  <si>
    <t>6306220000, 9506999000</t>
  </si>
  <si>
    <t>KJZPQMS103FTCDWS3001V0</t>
  </si>
  <si>
    <t>KJZPQMS72FT3A2UJJ001V0</t>
  </si>
  <si>
    <t>MSDU7341776, MSMU6450125, MSNU8909623, TCLU9113325</t>
  </si>
  <si>
    <t>Packing list=CZ-056448, Packing list=IT-055414, Packing list=IT-056492, Packing list=PL-056511</t>
  </si>
  <si>
    <t>KJZPQMS82FT4OPPC4001V0</t>
  </si>
  <si>
    <t>KJZPQMS89FT6IO26U001V0</t>
  </si>
  <si>
    <t>KJZPQMS92FT5HV8CJ001V0</t>
  </si>
  <si>
    <t>KJZPSLS66FT3PC6UY001V0</t>
  </si>
  <si>
    <t>KJZPSLS82FT4A0XFC001V0</t>
  </si>
  <si>
    <t>KPSZCLBQ14PCBQ0XA001V0</t>
  </si>
  <si>
    <t>BEARING SEPARATOR KIT</t>
  </si>
  <si>
    <t>KQXDQJ3550CFMCXVVV2</t>
  </si>
  <si>
    <t>ALR SCRUBBER</t>
  </si>
  <si>
    <t>8421392590</t>
  </si>
  <si>
    <t>KQXDQJ3800CFMYP0KV2</t>
  </si>
  <si>
    <t>KSDJ6JT1015IAXNW2V0</t>
  </si>
  <si>
    <t>MACHINE TOOL HOLDER, QUICK CHANGE TOOL POST SET</t>
  </si>
  <si>
    <t>KSDJ6JT612IN9J8E3V0</t>
  </si>
  <si>
    <t>CSNU8543508, FSCU8031100, TEMU6360421</t>
  </si>
  <si>
    <t>list=ES-049340, list=FR-049318, list=IT-049338</t>
  </si>
  <si>
    <t>KSDJ8JT1015IDLIQKV0</t>
  </si>
  <si>
    <t>, CSNU8543508, TEMU7049081</t>
  </si>
  <si>
    <t>list=ES-049341, list=FR-049318, list=FR-049322</t>
  </si>
  <si>
    <t>KSDJ8JT612INKE424V0</t>
  </si>
  <si>
    <t>CSNU8950231, SELU4270474, TEMU6360421, TEMU7049081</t>
  </si>
  <si>
    <t>list=ES-049339, list=ES-049340, list=FR-049320, list=FR-049322</t>
  </si>
  <si>
    <t>KSLQJ54CXGKDUSO0T001V0</t>
  </si>
  <si>
    <t>PORTABLE BASKETBALL STAND</t>
  </si>
  <si>
    <t>KSSCP180X3009V5I7001V0</t>
  </si>
  <si>
    <t>SIDE AWNING</t>
  </si>
  <si>
    <t>KSSCP180X300E47VF001V0</t>
  </si>
  <si>
    <t>KSSCP180X350D1WHJV0</t>
  </si>
  <si>
    <t>KSSCP180X350VY7PHV0</t>
  </si>
  <si>
    <t>KSSCP185420CQSILO001V0</t>
  </si>
  <si>
    <t>KSSCP200X600HPSZPV0</t>
  </si>
  <si>
    <t>KSSCP200X600QPNQGV0</t>
  </si>
  <si>
    <t>KT-185CGT00000001V2</t>
  </si>
  <si>
    <t>JEWELRY POLISHER TUMBLER</t>
  </si>
  <si>
    <t>KXCSL18INCH02TFW3001V0</t>
  </si>
  <si>
    <t>SNOW SHOVEL</t>
  </si>
  <si>
    <t>KXSJXJSQYHYTQV871001V0</t>
  </si>
  <si>
    <t>3 POINT HITCH RECEIVER, TOW HOOK</t>
  </si>
  <si>
    <t>CSNU8950231, MSDU5652681, SELU4270474</t>
  </si>
  <si>
    <t>list=ES-049339, list=FR-049320, list=FR-052067</t>
  </si>
  <si>
    <t>KXYSZBGZTYXXIV6E4001V0</t>
  </si>
  <si>
    <t>HOLLOW ROCK COVER</t>
  </si>
  <si>
    <t>MSBU5511156, MSDU8279268, MSDU8587147</t>
  </si>
  <si>
    <t>Packing list=CZ-054516, Packing list=PL-054560, Packing list=PL-055706</t>
  </si>
  <si>
    <t>KXYSZBGZTYXZJ9G43001V0</t>
  </si>
  <si>
    <t>KXYSZBGZZXXH2E9E7001V0</t>
  </si>
  <si>
    <t>KXYSZBGZZXXH2UM7A001V0</t>
  </si>
  <si>
    <t>MSBU5511156, MSCU5315774, MSDU8587147</t>
  </si>
  <si>
    <t>Packing list=CZ-054516, Packing list=CZ-055664, Packing list=PL-054560</t>
  </si>
  <si>
    <t>KXYSZBGZZXXHAYDM1001V0</t>
  </si>
  <si>
    <t>KXYSZBGZZXXHFTJQR001V0</t>
  </si>
  <si>
    <t>KXYSZBGZZXZH4J6SJ001V0</t>
  </si>
  <si>
    <t>KXYSZBGZZXZHR2NZQ001V0</t>
  </si>
  <si>
    <t>KXZCFTCYX5C111587001V0</t>
  </si>
  <si>
    <t>KITCHEN WHEELED STORAGE RACK</t>
  </si>
  <si>
    <t>MEDU7133728, MSMU7678871, TGBU9853870</t>
  </si>
  <si>
    <t>Packing list=CZ-056445, Packing list=FR-056467, Packing list=IT-056491</t>
  </si>
  <si>
    <t>KYDHYZYZXCWKUET6P001V0</t>
  </si>
  <si>
    <t>KYDHYZYZXKSSSHX39001V0</t>
  </si>
  <si>
    <t>KYDHYZYZXYZKUTJPE001V0</t>
  </si>
  <si>
    <t>CAAU6199835, CSNU6554247, FSCU8031100</t>
  </si>
  <si>
    <t>list=CZ-050499, list=FR-050517, list=IT-049338</t>
  </si>
  <si>
    <t>KYDZXCFWTDGLSFAACV0</t>
  </si>
  <si>
    <t>CYCLING DESK</t>
  </si>
  <si>
    <t>KZDADLDKTTQPZ41H0V0</t>
  </si>
  <si>
    <t>ADIRONDACK OTTOMAN</t>
  </si>
  <si>
    <t>KZDBXSMTSLFX8WWHC001V0</t>
  </si>
  <si>
    <t>KZDFQZZZCJ480IG42V0</t>
  </si>
  <si>
    <t>PLANT CAGES &amp; SUPPORT, PLANT CAGES AND SUPPORT</t>
  </si>
  <si>
    <t>KZDFQZZZCJ68FH9Y4V0</t>
  </si>
  <si>
    <t>KZDGLT4STEP16LGG3V0</t>
  </si>
  <si>
    <t>FOLDING DOG STAIRS</t>
  </si>
  <si>
    <t>KZDGLT5STEP1DLM2TV0</t>
  </si>
  <si>
    <t>KZDGLTEKJCK53PHLZ001V0</t>
  </si>
  <si>
    <t>FOLDABLE DOG STAIRS</t>
  </si>
  <si>
    <t>KZDGLTEKMZFH1KNNA001V0</t>
  </si>
  <si>
    <t>KZDGLTEKMZFHUGZNR001V0</t>
  </si>
  <si>
    <t>KZDSLCWKCSHS132ETV0</t>
  </si>
  <si>
    <t>FOLDING PLASTIC CRATE</t>
  </si>
  <si>
    <t>CAIU8091272, CRSU9232786, TGHU9810798</t>
  </si>
  <si>
    <t>Packing list=CZ-055905, Packing list=CZ-055909, Packing list=FR-054749</t>
  </si>
  <si>
    <t>KZDSLCWKHHS3SN2K5001V0</t>
  </si>
  <si>
    <t>3923101000</t>
  </si>
  <si>
    <t>KZDSLCWKHS45UD0DE001V0</t>
  </si>
  <si>
    <t>KZDSLCWKLHS24XKY1001V0</t>
  </si>
  <si>
    <t>KZDSLCWXCHS4PZD9O001V0</t>
  </si>
  <si>
    <t>3923101000, 3923900000</t>
  </si>
  <si>
    <t>KZDSLCWXHHS671U7U001V0</t>
  </si>
  <si>
    <t>KZDSLCWXHS45CNF3XV0</t>
  </si>
  <si>
    <t>KZDSLCWXHS64HOR3QV0</t>
  </si>
  <si>
    <t>3923109090</t>
  </si>
  <si>
    <t>KZDSTHC500B01UEHNV0</t>
  </si>
  <si>
    <t>FOLDABLE HAND TRUCK</t>
  </si>
  <si>
    <t>KZF2S11GPMYY00001V0</t>
  </si>
  <si>
    <t>HYDRAULIC VALVE</t>
  </si>
  <si>
    <t>8481201090</t>
  </si>
  <si>
    <t>KZF3ZYY11GPMSZY01V0</t>
  </si>
  <si>
    <t>PORT P CONNECTS TO OIL HOSE</t>
  </si>
  <si>
    <t>KZFFXYC611GPMFJ1GV0</t>
  </si>
  <si>
    <t>KZFLEXI1350MM8Z30V2</t>
  </si>
  <si>
    <t>CUTTING PLOTTER</t>
  </si>
  <si>
    <t>KZJ-1350SDJC00001V2</t>
  </si>
  <si>
    <t>KZJ-720SDJC000001V2</t>
  </si>
  <si>
    <t>KZJ-870SDJC000001V2</t>
  </si>
  <si>
    <t>KZJRJBZDBDZJO6DBLV2</t>
  </si>
  <si>
    <t>CAIU8407170, FSCU6992068, TCLU5729903, TCNU7119933</t>
  </si>
  <si>
    <t>Packing list=CZ-056028, Packing list=CZ-056030, Packing list=FR-054888, Packing list=PL-054906</t>
  </si>
  <si>
    <t>KZJRJBZDDZJOCBYHOV2</t>
  </si>
  <si>
    <t>KZJRJBZDDZJOCRO4RV2</t>
  </si>
  <si>
    <t>KZJRJBZDDZJOCTPJBV2</t>
  </si>
  <si>
    <t>KZJT375MM220VM24OV2</t>
  </si>
  <si>
    <t>KZMJC12INCH7V8MLF001V0</t>
  </si>
  <si>
    <t>HEAT TRANSFER VINYL</t>
  </si>
  <si>
    <t>3920690020</t>
  </si>
  <si>
    <t>KZMPC12INCH121EOW001V0</t>
  </si>
  <si>
    <t>KZMPC12INCH1CX4TU001V0</t>
  </si>
  <si>
    <t>KZMPC12INCH1RTMH8001V0</t>
  </si>
  <si>
    <t>KZSNXDXZKJ567EBR8001V2</t>
  </si>
  <si>
    <t>SPIT ROTISSERIE ROASTER GRILL</t>
  </si>
  <si>
    <t>8516601000</t>
  </si>
  <si>
    <t>LBKHWZDZ28YC552PE001V0</t>
  </si>
  <si>
    <t>ALUMINUM PLATE STYLE</t>
  </si>
  <si>
    <t>LBKHWZDZ36YCSMCLA001V0</t>
  </si>
  <si>
    <t>LBSDSJGMTZDW0KLIAV0</t>
  </si>
  <si>
    <t>LBSDSJGMTZDWLVTBMV0</t>
  </si>
  <si>
    <t>LBXBSTZJT3824T2HUV0</t>
  </si>
  <si>
    <t>CROWFOOT WRENCH SET</t>
  </si>
  <si>
    <t>LBXDZL3GHQSY3W5DE001V0</t>
  </si>
  <si>
    <t>8417100000</t>
  </si>
  <si>
    <t>LBXDZL3GHQSYXGUZG001V0</t>
  </si>
  <si>
    <t>PROPANE FORGE</t>
  </si>
  <si>
    <t>LBXDZLGDXBL207Y2XV0</t>
  </si>
  <si>
    <t>PROPENE FORGE</t>
  </si>
  <si>
    <t>LCDPYKCZXNBQKRP6L001V2</t>
  </si>
  <si>
    <t>POWER INVERTER</t>
  </si>
  <si>
    <t>LCGSJTTCTC89NDS2C001V0</t>
  </si>
  <si>
    <t>CAST IRON WOK</t>
  </si>
  <si>
    <t>LCSBXX17L000GVVNCV0</t>
  </si>
  <si>
    <t>DROP SLOT SAFE</t>
  </si>
  <si>
    <t>LCSBXX25L000IZ30IV0</t>
  </si>
  <si>
    <t>LCZXG30X13X96TPEUV0</t>
  </si>
  <si>
    <t>LCZXG30X13X96UJDLV0</t>
  </si>
  <si>
    <t>LCZXG39X13X10DNBAV0</t>
  </si>
  <si>
    <t>LCZXG48X15X1541ZWV0</t>
  </si>
  <si>
    <t>LCZXG48X15X155SH1V0</t>
  </si>
  <si>
    <t>LDDSZJGDZXG55I5UNV0</t>
  </si>
  <si>
    <t>TELEVISION STAND</t>
  </si>
  <si>
    <t>LDDSZJKYDLY60F75FV0</t>
  </si>
  <si>
    <t>LDSAQFSBS710R8PPAV0</t>
  </si>
  <si>
    <t>BATHROOM TRANSFER ROD</t>
  </si>
  <si>
    <t>LDSAQFSHS710U66BRV0</t>
  </si>
  <si>
    <t>CAIU7140710, MSCU5085389, MSMU8087533, TCLU5196126</t>
  </si>
  <si>
    <t>Packing list=CZ-056444, Packing list=FR-055407, Packing list=IT-056490, Packing list=PL-056501</t>
  </si>
  <si>
    <t>LDSGZTDCTKDLW0SEX001V2</t>
  </si>
  <si>
    <t>FLOOR STANDING WORKBENCH</t>
  </si>
  <si>
    <t>LDSLYJAX5059Q3FK5001V0</t>
  </si>
  <si>
    <t>STANDING CLOTHES DRYING RACK</t>
  </si>
  <si>
    <t>BMOU4089214, BMOU4422599, DRYU9392353, TCNU7880515</t>
  </si>
  <si>
    <t>Packing list=CZ-055904, Packing list=FR-054747, Packing list=FR-054752, Packing list=PL-054774</t>
  </si>
  <si>
    <t>LDSLYJAX6014YHE3H001V0</t>
  </si>
  <si>
    <t>LDSQPDLS32YCAW2BD001V9</t>
  </si>
  <si>
    <t>BUBBLE LAMP</t>
  </si>
  <si>
    <t>9405294000</t>
  </si>
  <si>
    <t>LDSQPDLS39YC1UVXR001V9</t>
  </si>
  <si>
    <t>LDXYJZJTJK2PA7MNU001V0</t>
  </si>
  <si>
    <t>LAUNDRY SHELVES</t>
  </si>
  <si>
    <t>MSBU7581677, TCLU5196126</t>
  </si>
  <si>
    <t>Packing list=CZ-056444, Packing list=PL-056502</t>
  </si>
  <si>
    <t>LDXYJZJTJKDPT81AW001V0</t>
  </si>
  <si>
    <t>LDXYJZJTJKDPTAU69001V0</t>
  </si>
  <si>
    <t>LEDJXJJ10060UUEBZ001V2</t>
  </si>
  <si>
    <t>MIRROR CABINET</t>
  </si>
  <si>
    <t>LGDJTJ1000WHAQTLUV9</t>
  </si>
  <si>
    <t>ELECTRIC BIKE MOTOR</t>
  </si>
  <si>
    <t>8714930090</t>
  </si>
  <si>
    <t>AXIU1638505, BMOU4007469, CLHU8567219, GLDU7246065</t>
  </si>
  <si>
    <t>Packing list=CZ-055906, Packing list=FR-054751, Packing list=PL-054775, Packing list=PL-055928</t>
  </si>
  <si>
    <t>LGFS65FT1JZ3355L3001V0</t>
  </si>
  <si>
    <t>RAILING HANDRAIL</t>
  </si>
  <si>
    <t>LGFS65FT4JZ3WJ1HF001V0</t>
  </si>
  <si>
    <t>LGLJQPOM2PCSTIKYZ001V0</t>
  </si>
  <si>
    <t>RAILING CONNECTOR</t>
  </si>
  <si>
    <t>3917400020</t>
  </si>
  <si>
    <t>LGTZHZZ65FT3QK2GQ001V0</t>
  </si>
  <si>
    <t>RAILING SET</t>
  </si>
  <si>
    <t>LGXCWZLBS305UJDRFV0</t>
  </si>
  <si>
    <t>SAFETY GATE</t>
  </si>
  <si>
    <t>LGXCWZLHS305EYXEKV0</t>
  </si>
  <si>
    <t>LHJBGTSB00002PVUB001V0</t>
  </si>
  <si>
    <t>STEP LADDER</t>
  </si>
  <si>
    <t>LHJJCZDSSM6A4NJPRV0</t>
  </si>
  <si>
    <t>LITERATURE DISPLAY</t>
  </si>
  <si>
    <t>LHJZWJZZK24X7OZ97V0</t>
  </si>
  <si>
    <t>DUNNAGE RACK</t>
  </si>
  <si>
    <t>MSNU8441810, TCLU8016320</t>
  </si>
  <si>
    <t>Packing list=CZ-056026, Packing list=FR-054886</t>
  </si>
  <si>
    <t>LHJZWJZZK36X4X4WUV0</t>
  </si>
  <si>
    <t>CAIU7751371, MSNU8441810, TCLU8016320</t>
  </si>
  <si>
    <t>Packing list=CZ-056026, Packing list=FR-054886, Packing list=PL-054903</t>
  </si>
  <si>
    <t>LHJZWJZZK48XNBIQ5V0</t>
  </si>
  <si>
    <t>LJQXHTGDGQ25SOC6QV0</t>
  </si>
  <si>
    <t>PINTLE HOOK</t>
  </si>
  <si>
    <t>LJYLGHSKCX502V6LG001V0</t>
  </si>
  <si>
    <t>TRAP BAR DEADLI</t>
  </si>
  <si>
    <t>LJZJDGTZLMDGKKEY3V0</t>
  </si>
  <si>
    <t>CHAINSAW SAWMILLS, GUIDE</t>
  </si>
  <si>
    <t>BEAU4243644, CMAU9767404, CSNU6554247, CSNU8950231, FFAU2882889, SELU4270474, UETU5958499</t>
  </si>
  <si>
    <t>list=CZ-050502, list=ES-049339, list=FR-049319, list=FR-049320, list=FR-050517, list=FR-052081, list=IT-049334</t>
  </si>
  <si>
    <t>LMBXXLS3139CMP3A6V9</t>
  </si>
  <si>
    <t>CMAU3392208, FFAU2254455, FSCU8031100, TGHU9193042</t>
  </si>
  <si>
    <t>list=CZ-050500, list=FR-052064, list=IT-049338, list=IT-052075</t>
  </si>
  <si>
    <t>LMBXXLS452CU8Z59AV9</t>
  </si>
  <si>
    <t>LMBXXLS5567CW705UV9</t>
  </si>
  <si>
    <t>CMAU3392208, FSCU8031100, TGHU9193042</t>
  </si>
  <si>
    <t>list=CZ-050500, list=FR-052064, list=IT-049338</t>
  </si>
  <si>
    <t>LMBXXLS782CUWAFUQV9</t>
  </si>
  <si>
    <t>LMHSJBXSYSDJ1VMJC002V2</t>
  </si>
  <si>
    <t>REFRIGERANT RECOVERY MACHINE</t>
  </si>
  <si>
    <t>LMHSJBXSYSDJ34PGV002V2</t>
  </si>
  <si>
    <t>LMQZTZ34PCSGG26A0001V0</t>
  </si>
  <si>
    <t>NUT DRIVER SET</t>
  </si>
  <si>
    <t>LMQZTZ55PCSGOEJWA001V0</t>
  </si>
  <si>
    <t>LMQZTZ80PCSG1OEOP001V0</t>
  </si>
  <si>
    <t>LPZQ27YFCSWZ4I7P9001V0</t>
  </si>
  <si>
    <t>LPZQHBSWZJ27ZB5YD001V0</t>
  </si>
  <si>
    <t>LSBXXHSLSLF186U0WV0</t>
  </si>
  <si>
    <t>, BEAU4243644, TGBU8682068</t>
  </si>
  <si>
    <t>list=ES-049341, list=FR-052081, list=IT-049336</t>
  </si>
  <si>
    <t>LSBXXHSLSLF22HXMIV0</t>
  </si>
  <si>
    <t>BEAU4243644, MSCU4599790</t>
  </si>
  <si>
    <t>list=FR-052081, list=PL-052083</t>
  </si>
  <si>
    <t>LSBYCCFJCF4GTF38XV0</t>
  </si>
  <si>
    <t>WHEEL DOLLIES STAND</t>
  </si>
  <si>
    <t>LSCKDDBYJHSPY2RE6001V0</t>
  </si>
  <si>
    <t>INTERLOCKING GARAGE FLOOR</t>
  </si>
  <si>
    <t>3918101010</t>
  </si>
  <si>
    <t>FFAU2882889, SELU4270474, TEMU7049081</t>
  </si>
  <si>
    <t>list=ES-049339, list=FR-049322, list=IT-049334</t>
  </si>
  <si>
    <t>LSCKDDBYJMKPKNJAI001V0</t>
  </si>
  <si>
    <t>INTERLOCKING GARAGE FLOOR EDGE</t>
  </si>
  <si>
    <t>LSCTB2040INCHRVHUV0</t>
  </si>
  <si>
    <t>CHALKBOARD SIGN</t>
  </si>
  <si>
    <t>9610000000</t>
  </si>
  <si>
    <t>LSDJ30HPDS18ME18T001V2</t>
  </si>
  <si>
    <t>WOOD BAND SAW</t>
  </si>
  <si>
    <t>LSGBSDDLP300ZT4CBV0</t>
  </si>
  <si>
    <t>PEX-AL-PEX ALUMINUM-PLASTIC COMPOSITE PIPE</t>
  </si>
  <si>
    <t>3917390020</t>
  </si>
  <si>
    <t>LSGYTGZJQD56YVZDOV0</t>
  </si>
  <si>
    <t>PASTE LIQUID FILLING MACHINE</t>
  </si>
  <si>
    <t>LSJGSZKJ200MQ2IEKV2</t>
  </si>
  <si>
    <t>CORE DRILL</t>
  </si>
  <si>
    <t>8464900000</t>
  </si>
  <si>
    <t>LSJGSZKJ250M41JHRV2</t>
  </si>
  <si>
    <t>LSJGSZKJ300M6MPPHV2</t>
  </si>
  <si>
    <t>LSJGSZKJ8YC8FWHUM001V2</t>
  </si>
  <si>
    <t>LSLXFKJBXGBDUG4KMV2</t>
  </si>
  <si>
    <t>CONTINUOUS SEALING MACHINE</t>
  </si>
  <si>
    <t>8422400000</t>
  </si>
  <si>
    <t>LSLXFKJTBPQDL4URB001V2</t>
  </si>
  <si>
    <t>LSPMQGJLSFTS7EUBP001V2</t>
  </si>
  <si>
    <t>VERTICAL FOAM CUTTER</t>
  </si>
  <si>
    <t>8477801100</t>
  </si>
  <si>
    <t>LSWGQ6070INC4OEUO001V0</t>
  </si>
  <si>
    <t>LSWGQ6070INCBK7NM001V0</t>
  </si>
  <si>
    <t>LSWGQ6878INCNL5GHV0</t>
  </si>
  <si>
    <t xml:space="preserve">9403.20.8000 </t>
  </si>
  <si>
    <t>LSXXFSCLSXSTYUHJAV2</t>
  </si>
  <si>
    <t>SHAMPOO SINK</t>
  </si>
  <si>
    <t>LTCZJZGSHSKRERD9OV0</t>
  </si>
  <si>
    <t>TIRE CHANGER</t>
  </si>
  <si>
    <t>LTDJTHZDDK10VAEBJ002V0</t>
  </si>
  <si>
    <t>INTER COVER FOR GAZEBO</t>
  </si>
  <si>
    <t>LTFS1.2MLZFS00001V0</t>
  </si>
  <si>
    <t>LTFS1.4MLZFS00001V0</t>
  </si>
  <si>
    <t>LTSFZDGLTGDSYZY74001V0</t>
  </si>
  <si>
    <t>STAIRCASE-STYLE NON-FOLDING DOG STAIRS</t>
  </si>
  <si>
    <t>LTSFZDGLTKFPB0YY9001V0</t>
  </si>
  <si>
    <t>LTSFZDGLTKFPL92A7001V0</t>
  </si>
  <si>
    <t>LTSFZDGLTKFPMMCSK001V0</t>
  </si>
  <si>
    <t>LTSFZDGLTKFPZ6IC6001V0</t>
  </si>
  <si>
    <t>LTTZZCG23INCEIGW1V0</t>
  </si>
  <si>
    <t>LADDER LEVELER</t>
  </si>
  <si>
    <t>LTWZDL10FT10VJ6F0V0</t>
  </si>
  <si>
    <t>GAZEBO REPLACEMENT NETS</t>
  </si>
  <si>
    <t>LTWZDL10FT12CIV6IV0</t>
  </si>
  <si>
    <t>LTWZDL12FT12G6AC0V0</t>
  </si>
  <si>
    <t>LWDD123INCHUOEQV8001V0</t>
  </si>
  <si>
    <t>REBAR STAKE</t>
  </si>
  <si>
    <t>7317008000</t>
  </si>
  <si>
    <t>LWDDIJ16YC12WII5A001V0</t>
  </si>
  <si>
    <t>, CSNU8719578, TGBU8682068</t>
  </si>
  <si>
    <t>list=ES-049341, list=FR-049324, list=IT-049336</t>
  </si>
  <si>
    <t>LWDDJG12YC10BGDOH001V0</t>
  </si>
  <si>
    <t>GROUND STAKE, REBAR STAKE</t>
  </si>
  <si>
    <t>LWDDJG16YC10HJH8R001V0</t>
  </si>
  <si>
    <t>LWDDJG16YC10U07F7001V0</t>
  </si>
  <si>
    <t>LWDDUX102INC9VPD6001V0</t>
  </si>
  <si>
    <t>LWKJNPBB117LI4ST0001V2</t>
  </si>
  <si>
    <t>CIRCULATOR PUMP</t>
  </si>
  <si>
    <t>LWNKYTJGP2308WYMP001V7</t>
  </si>
  <si>
    <t>HYBRID SOLAR INVERTER</t>
  </si>
  <si>
    <t>LWNKYTJGP230O3Q3F001V7</t>
  </si>
  <si>
    <t>LWWL1JT164FTWA559V0</t>
  </si>
  <si>
    <t>REED FENCE</t>
  </si>
  <si>
    <t>4601291000</t>
  </si>
  <si>
    <t>LXKXSGDNKJ720USJJV2</t>
  </si>
  <si>
    <t>LXKXSGDNKJ730RHL1V2</t>
  </si>
  <si>
    <t>LXKXSGDNKJ7YZAMUWV2</t>
  </si>
  <si>
    <t>LXZZT1G100MMPRI72001V0</t>
  </si>
  <si>
    <t>AUGER DRILL BIT</t>
  </si>
  <si>
    <t>8207507000</t>
  </si>
  <si>
    <t>LXZZT1G120MMNILLZ001V0</t>
  </si>
  <si>
    <t>LXZZT1G40MM8XCZDM001V0</t>
  </si>
  <si>
    <t>LXZZT1G60MM8HAAJJ001V0</t>
  </si>
  <si>
    <t>LXZZT1G80MM6E08ZC001V0</t>
  </si>
  <si>
    <t>LXZZT1G80MM8L4EZR001V0</t>
  </si>
  <si>
    <t>LYBBW30CM10KG7JM9V0</t>
  </si>
  <si>
    <t>LYBBWR28CM4KGTPRSV0</t>
  </si>
  <si>
    <t>LYDFXLHJPEWFYGW6TV0</t>
  </si>
  <si>
    <t>BATH CHAIR</t>
  </si>
  <si>
    <t>CAIU4774748, MSDU7691060, MSMU7055486, UETU6075441</t>
  </si>
  <si>
    <t>Packing list=CZ-055657, Packing list=PL-054558, Packing list=PL-054561, Packing list=PL-055704</t>
  </si>
  <si>
    <t>LYDFXSLHJPESDZCC9V0</t>
  </si>
  <si>
    <t>MSDU7691060, MSMU7055486, TXGU6715988</t>
  </si>
  <si>
    <t>Packing list=CZ-055657, Packing list=CZ-055660, Packing list=PL-055704</t>
  </si>
  <si>
    <t>LYSJJ12U18YCOJ5U1V0</t>
  </si>
  <si>
    <t>ROLLING SERVER RACK CABINET</t>
  </si>
  <si>
    <t>LYSKQD2000W0THJVCV2</t>
  </si>
  <si>
    <t>MSBU7968460, MSNU5329452, TEMU6360421</t>
  </si>
  <si>
    <t>list=ES-049340, list=FR-052068, list=IT-052076</t>
  </si>
  <si>
    <t>LYTYMKPPYMHFTD18EV0</t>
  </si>
  <si>
    <t>CAMPING BLANKET</t>
  </si>
  <si>
    <t>6301401000</t>
  </si>
  <si>
    <t>LZBZWSZ210W22PVC8V2</t>
  </si>
  <si>
    <t>LED GROW LIGHT</t>
  </si>
  <si>
    <t>9405494000</t>
  </si>
  <si>
    <t>LZBZWSZ320W23DGH5V2</t>
  </si>
  <si>
    <t>LZDWFWQBXG1G1TFJ5V0</t>
  </si>
  <si>
    <t>FOOD SERVING DISPLAY</t>
  </si>
  <si>
    <t>LZDWFWQBXG1GMSYKMV0</t>
  </si>
  <si>
    <t>LZDWFWQBXG6GDDUZVV0</t>
  </si>
  <si>
    <t>LZDWFWQHSSLZ7W4JHV0</t>
  </si>
  <si>
    <t>ICE CHILLED CONDIMENT SERVING TRAY</t>
  </si>
  <si>
    <t>3924100011</t>
  </si>
  <si>
    <t>MSDU8587147, TXGU6715988, UETU6075441</t>
  </si>
  <si>
    <t>Packing list=CZ-054516, Packing list=CZ-055660, Packing list=PL-054561</t>
  </si>
  <si>
    <t>LZDWFWQHSSLZOYQI0V0</t>
  </si>
  <si>
    <t>LZDWFWQSLSL6H47DQ002V0</t>
  </si>
  <si>
    <t>3924100090</t>
  </si>
  <si>
    <t>LZDWFWQTMSSLL0QQ8002V0</t>
  </si>
  <si>
    <t>SALAD CONTAINER</t>
  </si>
  <si>
    <t>LZDWFWQTMSSLMTP77001V0</t>
  </si>
  <si>
    <t>LZHJ30KW7ZGNRYSVJV2</t>
  </si>
  <si>
    <t>LZHJFTSSD18KUOYZ6V2</t>
  </si>
  <si>
    <t>LZHJFTSZDSD1DIN4DV2</t>
  </si>
  <si>
    <t>LZHJFTSZDSD1LY9S7V2</t>
  </si>
  <si>
    <t>, CBHU9175188, CSNU7335475</t>
  </si>
  <si>
    <t>list=ES-049341, list=FR-049325, list=IT-049337</t>
  </si>
  <si>
    <t>LZHJFTSZDSD3DV3W9V2</t>
  </si>
  <si>
    <t>LZKFSHS405INENIH7V0</t>
  </si>
  <si>
    <t>LZLTFS3YCYGBSDLZ1V0</t>
  </si>
  <si>
    <t>ALUMINUM HANDRAIL WHITE</t>
  </si>
  <si>
    <t>LZLTFS4YCYGBSDLZ1V0</t>
  </si>
  <si>
    <t>LZLTFS4YCYGHSDLZ1V0</t>
  </si>
  <si>
    <t>CARU5285706</t>
  </si>
  <si>
    <t>Packing list=CZ-055908</t>
  </si>
  <si>
    <t>LZLTFSDHGLZHSKD01V0</t>
  </si>
  <si>
    <t>LZLTYHHK26HSB9IHUV0</t>
  </si>
  <si>
    <t>PATIO FOLDING LOUNGE CHAIR</t>
  </si>
  <si>
    <t>LZLTYHS26HHKDFO3ZV0</t>
  </si>
  <si>
    <t>LZLTYHS33HHK90DO9V0</t>
  </si>
  <si>
    <t>BEAU5878887, MSDU5605756, MSDU7691060, UETU6075441</t>
  </si>
  <si>
    <t>Packing list=CZ-055657, Packing list=CZ-055658, Packing list=CZ-055665, Packing list=PL-054561</t>
  </si>
  <si>
    <t>LZLTYHS33HHKQK3LEV0</t>
  </si>
  <si>
    <t>LZYCFSDDB1W3MXYPNV0</t>
  </si>
  <si>
    <t>LZYLGBXGSBSK7BYSO001V0</t>
  </si>
  <si>
    <t>PRESSURE COOKER</t>
  </si>
  <si>
    <t>CAIU7140710, MSBU6615068, MSCU5085389, TCLU5196126</t>
  </si>
  <si>
    <t>Packing list=CZ-056444, Packing list=FR-055407, Packing list=IT-056490, Packing list=PL-055437</t>
  </si>
  <si>
    <t>LZYLGBXGSBSKMYFIX001V0</t>
  </si>
  <si>
    <t>MABSCBL30L00K8Y85002V0</t>
  </si>
  <si>
    <t>4202121100</t>
  </si>
  <si>
    <t>MADHSNLMADWKR2KEMV0</t>
  </si>
  <si>
    <t>OFFICE STOOL</t>
  </si>
  <si>
    <t>9401390000</t>
  </si>
  <si>
    <t>MADMAD500BJS4GAJD001V0</t>
  </si>
  <si>
    <t>9401710000</t>
  </si>
  <si>
    <t>MADMAD500BJS4H2O2001V0</t>
  </si>
  <si>
    <t>MADMAD500BJSIBVGH001V0</t>
  </si>
  <si>
    <t>MADMAD500BJSLB0LP001V0</t>
  </si>
  <si>
    <t>MADMAD500BJSUJOGI001V0</t>
  </si>
  <si>
    <t>MAGBXSDDHLYX33XRC001V2</t>
  </si>
  <si>
    <t>PORTABLE ELECTRIC HOIST WITH  SADDLE HOOK DESIGN</t>
  </si>
  <si>
    <t>MAJXXZDK2819D0WM3V0</t>
  </si>
  <si>
    <t>SADDLE RACK, SADDLE STAND</t>
  </si>
  <si>
    <t>MBGDBYCW45884QXE6V0</t>
  </si>
  <si>
    <t>PANEL TRACK BLINDS</t>
  </si>
  <si>
    <t>3920431010</t>
  </si>
  <si>
    <t>MBGDBYCW4588QV93OV0</t>
  </si>
  <si>
    <t>MBMGCDYTSWDPUXJ3J001V0</t>
  </si>
  <si>
    <t>TURNING TOOLS</t>
  </si>
  <si>
    <t>8207809000</t>
  </si>
  <si>
    <t>MBZSJYKLJX2C29OHP001V0</t>
  </si>
  <si>
    <t>BAKERY DISPLAY CASE</t>
  </si>
  <si>
    <t>3924900090</t>
  </si>
  <si>
    <t>MBZSJYKLJX2C3L13D001V0</t>
  </si>
  <si>
    <t>MBZSJYKLJX3CJ2UNE001V0</t>
  </si>
  <si>
    <t>MBZSJYKLJX3CKQDVS001V0</t>
  </si>
  <si>
    <t>MBZSJYKLTX2CM8YGC001V0</t>
  </si>
  <si>
    <t>MEDU7093501, MSNU8925183</t>
  </si>
  <si>
    <t>Packing list=PL-054770, Packing list=PL-054773</t>
  </si>
  <si>
    <t>MBZSJYKLTX3CN119G001V0</t>
  </si>
  <si>
    <t>MBZSJYKLTYX2AZ4EE001V0</t>
  </si>
  <si>
    <t>3926909790, 8418509090</t>
  </si>
  <si>
    <t>MCWDPEDTK151CJL90001V0</t>
  </si>
  <si>
    <t>THATCH ROOFING</t>
  </si>
  <si>
    <t>6702100000</t>
  </si>
  <si>
    <t>MCWDPEWPK151B3699001V0</t>
  </si>
  <si>
    <t>MCWDPEWPK151NDZNY001V0</t>
  </si>
  <si>
    <t>MCWDPEWPK151URKNQ001V0</t>
  </si>
  <si>
    <t>MCWDPEWPK19251571001V0</t>
  </si>
  <si>
    <t>MCXAZQCZYXDY5AKALV9</t>
  </si>
  <si>
    <t>UNDER SEAT CAR SUBWOOFER</t>
  </si>
  <si>
    <t>MCXAZQCZYXDY7QMYIV9</t>
  </si>
  <si>
    <t>MCXAZQCZYXDY8IP7YV9</t>
  </si>
  <si>
    <t>MCXAZQCZYXDYCTMWWV9</t>
  </si>
  <si>
    <t>MCXAZQCZYXDYQHTAXV9</t>
  </si>
  <si>
    <t>MCXAZQCZYXDYY05MGV9</t>
  </si>
  <si>
    <t>MDBKHWZDZ24Y0Q4P4001V0</t>
  </si>
  <si>
    <t>MDBKHWZDZ24YUV8KO001V0</t>
  </si>
  <si>
    <t>MFCZDJGQDGCFSM72OV0</t>
  </si>
  <si>
    <t>MURPHY BED KIT</t>
  </si>
  <si>
    <t>8302420090</t>
  </si>
  <si>
    <t>MFCZDJGQDGCFZZVUZV0</t>
  </si>
  <si>
    <t>MFCZDJGQDGZFJ51X8V0</t>
  </si>
  <si>
    <t>MFCZDJGQDGZFZSYYDV0</t>
  </si>
  <si>
    <t>MFTDT1J12FT0NTRM6V0</t>
  </si>
  <si>
    <t>DOOR SEALS KIT</t>
  </si>
  <si>
    <t>4008211000, 4016930090</t>
  </si>
  <si>
    <t>CAAU6199835, MSBU7968460</t>
  </si>
  <si>
    <t>list=CZ-050499, list=IT-052076</t>
  </si>
  <si>
    <t>MFTDT1J165YC2I8WIV0</t>
  </si>
  <si>
    <t>CMAU4731862, FSCU8031100, MSBU7968460</t>
  </si>
  <si>
    <t>list=CZ-050496, list=IT-049338, list=IT-052076</t>
  </si>
  <si>
    <t>MFTDT1J20FT0L3EIMV0</t>
  </si>
  <si>
    <t>4008211000</t>
  </si>
  <si>
    <t>MGCCKP275YC0517OZV0</t>
  </si>
  <si>
    <t>4-JAW SELFCENTERING CHUCK, LATHE CHUCK</t>
  </si>
  <si>
    <t>CSNU8543508, CSNU8950231, SELU4270474, TEMU6360421, TEMU7049081, TGBU8682068</t>
  </si>
  <si>
    <t>list=ES-049339, list=ES-049340, list=FR-049318, list=FR-049320, list=FR-049322, list=IT-049336</t>
  </si>
  <si>
    <t>MGCCKP375YC0FQLQ0V0</t>
  </si>
  <si>
    <t>MGCCKPDJ4GKZGB730001V0</t>
  </si>
  <si>
    <t>LATHE CHUCK</t>
  </si>
  <si>
    <t>8460900000</t>
  </si>
  <si>
    <t>MGCCKPTJ3JT4IBZ0X001V0</t>
  </si>
  <si>
    <t>8460900000, 8466936000</t>
  </si>
  <si>
    <t>MGCCKPTJ4JT4H21PA001V0</t>
  </si>
  <si>
    <t>MGCCKPTJ5JT4WWS7T001V0</t>
  </si>
  <si>
    <t>MGCCKPTZ375YV7TVVV0</t>
  </si>
  <si>
    <t>CSNU8950231, TEMU6360421, TEMU7049081</t>
  </si>
  <si>
    <t>list=ES-049340, list=FR-049320, list=FR-049322</t>
  </si>
  <si>
    <t>MGCD8PCSMGCCZHBT1V0</t>
  </si>
  <si>
    <t>WOOD CHISEL SETS 8PCS LATHE CHISELS</t>
  </si>
  <si>
    <t>8205300000</t>
  </si>
  <si>
    <t>MIGYXHJ5H120FDVK3V2</t>
  </si>
  <si>
    <t>MIG WELDER</t>
  </si>
  <si>
    <t>MIGYXHJ5H125812USV2</t>
  </si>
  <si>
    <t>MJJRJBS23LJR1G3TCV2</t>
  </si>
  <si>
    <t>TOWEL WARMER CABINET</t>
  </si>
  <si>
    <t>MJPJTZQGMJ00YP70C001V0</t>
  </si>
  <si>
    <t>EMBOSSING FOLDER</t>
  </si>
  <si>
    <t>MJPJTZYHMJ00ZP9TD001V0</t>
  </si>
  <si>
    <t>DIE CUTTING MACHINE ACCESSORIES</t>
  </si>
  <si>
    <t>MJSNLDGG2C25YYEKJV0</t>
  </si>
  <si>
    <t>BLIND CORNER PULL OUT BASKET ORGANIZER</t>
  </si>
  <si>
    <t>MJSNLDGG3C25UTA9DV0</t>
  </si>
  <si>
    <t>MJXDJEKDJRK2F5NTD001V2</t>
  </si>
  <si>
    <t>TOWEL WARMER CABINETS</t>
  </si>
  <si>
    <t>MLCZWQ12PC24X1601V0</t>
  </si>
  <si>
    <t>ARTIFICIAL IVY FENCE</t>
  </si>
  <si>
    <t>MLCZWQ24PC20X2001V0</t>
  </si>
  <si>
    <t>3926909733, 6702100000</t>
  </si>
  <si>
    <t>MLCZWQ24PC24X1601V0</t>
  </si>
  <si>
    <t>ARTIFICIAL IVY FENCE, SIMULATED PLANT</t>
  </si>
  <si>
    <t>BEAU4243644, CSNU8543508</t>
  </si>
  <si>
    <t>list=FR-049318, list=FR-052081</t>
  </si>
  <si>
    <t>MLCZWQ6PC20X20001V0</t>
  </si>
  <si>
    <t>MNJXJSCC36W0E26IBV2</t>
  </si>
  <si>
    <t>MINI METAL LATHE</t>
  </si>
  <si>
    <t>8461900000</t>
  </si>
  <si>
    <t>MNKSBHLHL12TRPM7Q001V0</t>
  </si>
  <si>
    <t>MNKSBHLHL34TX54Y0001V0</t>
  </si>
  <si>
    <t>MNLXJ2ML0000T28X9001V2</t>
  </si>
  <si>
    <t>MINI CENTRIFUGE</t>
  </si>
  <si>
    <t>8421197000</t>
  </si>
  <si>
    <t>MSMU6966528, TCNU7119933, TCNU7822627</t>
  </si>
  <si>
    <t>Packing list=CZ-056030, Packing list=FR-054889, Packing list=PL-056044</t>
  </si>
  <si>
    <t>MNMGCCMNY796W1WHYV2</t>
  </si>
  <si>
    <t>WOOD LATHE</t>
  </si>
  <si>
    <t>8465990000</t>
  </si>
  <si>
    <t>BEAU4243644, MSNU5329452</t>
  </si>
  <si>
    <t>list=FR-052068, list=FR-052081</t>
  </si>
  <si>
    <t>MQJDP3INCHSDPCB61001V0</t>
  </si>
  <si>
    <t>CUTTING  EMBOSSING  MACHINE</t>
  </si>
  <si>
    <t>MQJDP6INCHSDA8L83001V0</t>
  </si>
  <si>
    <t>MQJDP9INCHSD139DF001V0</t>
  </si>
  <si>
    <t>MQJTZ3INCHSD773A3001V0</t>
  </si>
  <si>
    <t>MQJTZ6INCHSDVMRV8001V0</t>
  </si>
  <si>
    <t>MQJTZ9INCHSDGRLXZ001V0</t>
  </si>
  <si>
    <t>MQMSPGJYSBOB00001V2</t>
  </si>
  <si>
    <t>GEM FACETING MACHINE</t>
  </si>
  <si>
    <t>8464201100</t>
  </si>
  <si>
    <t>MSBU6615068, TCLU9113325</t>
  </si>
  <si>
    <t>Packing list=IT-055414, Packing list=PL-055437</t>
  </si>
  <si>
    <t>MSCWMLHJLM3PN3XKP001V0</t>
  </si>
  <si>
    <t>FLIP PET DOOR</t>
  </si>
  <si>
    <t>8302100090, 8302419000</t>
  </si>
  <si>
    <t>MSCWMLHJXLM23LW7C001V0</t>
  </si>
  <si>
    <t>MSCWMLHJXLM39384O001V0</t>
  </si>
  <si>
    <t>MSCWMLMLHJ1PCF80QV0</t>
  </si>
  <si>
    <t>MSCWMSMLHJ1PTQA4NV0</t>
  </si>
  <si>
    <t>MSMU6966528, MSMU8858857, UETU8218304</t>
  </si>
  <si>
    <t>Packing list=CZ-056027, Packing list=FR-054889, Packing list=PL-054905</t>
  </si>
  <si>
    <t>MSCWMXLMLHJ1SJ25PV0</t>
  </si>
  <si>
    <t>MSWJDPM00000WIWWBV0</t>
  </si>
  <si>
    <t>ARM PREACHER CURL WEIGHT STATION</t>
  </si>
  <si>
    <t>MSYYCD1660LBSAD7VV0</t>
  </si>
  <si>
    <t>MOTORIZED TRAILER JACK, TRANSMISSIONJACK</t>
  </si>
  <si>
    <t>8427900080</t>
  </si>
  <si>
    <t>MTCSJJCSB1100F505V0</t>
  </si>
  <si>
    <t>MOTORCYCLE LIFT</t>
  </si>
  <si>
    <t>MSMU5573763, MSMU6966528, MSMU7674578</t>
  </si>
  <si>
    <t>Packing list=CZ-056029, Packing list=FR-054889, Packing list=PL-056045</t>
  </si>
  <si>
    <t>MTCSJJCSB1100PWQ4V0</t>
  </si>
  <si>
    <t>MTCSJJCSB1100QMRIV0</t>
  </si>
  <si>
    <t>MSDU6523858, MSMU5573763, MSMU7674578, TCNU7822627</t>
  </si>
  <si>
    <t>Packing list=CZ-056029, Packing list=FR-054890, Packing list=PL-056044, Packing list=PL-056045</t>
  </si>
  <si>
    <t>MTCSJJYYB15004IG5V0</t>
  </si>
  <si>
    <t>MTCSJJYYBF350G0E1V0</t>
  </si>
  <si>
    <t>MTCSLDXHS48LY0GRXV0</t>
  </si>
  <si>
    <t>MOTORCYCLE TOP CASE</t>
  </si>
  <si>
    <t>8714101000</t>
  </si>
  <si>
    <t>MTFSTWJFHXJD56RPMV0</t>
  </si>
  <si>
    <t>DOCK LADDER</t>
  </si>
  <si>
    <t>MTFSTWJFHXJD5J314V0</t>
  </si>
  <si>
    <t>MTMQ32YFZSYZYEYPT001V0</t>
  </si>
  <si>
    <t>CARILLON, GLOCKENSPIEL XYLOPHONE</t>
  </si>
  <si>
    <t>CSNU8950231, TEMU6360421</t>
  </si>
  <si>
    <t>list=ES-049340, list=FR-049320</t>
  </si>
  <si>
    <t>MTMQ37YFZSYZU86MZ001V0</t>
  </si>
  <si>
    <t>MTMQZSWZJ25Y08T6Z001V0</t>
  </si>
  <si>
    <t>9205100000, 9206000000</t>
  </si>
  <si>
    <t>MTSBXSMT300BBWUTFV0</t>
  </si>
  <si>
    <t>MTSLETWJXXZSY2JKM001V0</t>
  </si>
  <si>
    <t>WOODEN TOYS</t>
  </si>
  <si>
    <t>9503006190</t>
  </si>
  <si>
    <t>MTXTCXSJFHXJDMGF9V0</t>
  </si>
  <si>
    <t>MTXTCXSJFHXJDO516V0</t>
  </si>
  <si>
    <t>MTZTCXSJFHXJDP38PV0</t>
  </si>
  <si>
    <t>MSMU7575575, TCNU7880515, TGHU9726809</t>
  </si>
  <si>
    <t>Packing list=CZ-055907, Packing list=FR-054752, Packing list=PL-054771</t>
  </si>
  <si>
    <t>MTZTCXSJFHXJDR9U9V0</t>
  </si>
  <si>
    <t>MTZTCXSWPJ505EH5W001V0</t>
  </si>
  <si>
    <t>MTZTCXSWPJ50UFGHO001V0</t>
  </si>
  <si>
    <t>MX40QKSGM00000001V0</t>
  </si>
  <si>
    <t>RICE STORAGE CONTAINER</t>
  </si>
  <si>
    <t>MXGCGKJGXDBXU85ER001V0</t>
  </si>
  <si>
    <t>CAJON</t>
  </si>
  <si>
    <t>MXGCGKJTXWBXZSUG4001V0</t>
  </si>
  <si>
    <t>MXGJCKJGXWBXB5IOZ001V0</t>
  </si>
  <si>
    <t>CAJON, DRUM SET</t>
  </si>
  <si>
    <t>MXGLXKJTXSNBGNO6N001V0</t>
  </si>
  <si>
    <t>MZHLDLDLZS10SMDJ9001V0</t>
  </si>
  <si>
    <t>WOODEN SHELF</t>
  </si>
  <si>
    <t>9405413100</t>
  </si>
  <si>
    <t>MZL3842INCH2ZBYKTV0</t>
  </si>
  <si>
    <t>WOODEN FENCES</t>
  </si>
  <si>
    <t>MZL48INCHK48ML1T0001V0</t>
  </si>
  <si>
    <t>MZMBHSXXJKDC9ROF8001V2</t>
  </si>
  <si>
    <t>WOODEN CAT SHELTER</t>
  </si>
  <si>
    <t>MZPF4MBWGBOSJRH7ZV0</t>
  </si>
  <si>
    <t>WOODEN ROOM DIVIDER</t>
  </si>
  <si>
    <t>MZPF6MBWGBOSCMC4VV0</t>
  </si>
  <si>
    <t>MZPF6MBWGBOSGULULV0</t>
  </si>
  <si>
    <t>MZPF8MBWGBOS980BOV0</t>
  </si>
  <si>
    <t>MZPF8MBWGBOSKOST4V0</t>
  </si>
  <si>
    <t>MZPFBS4MBWGBS2XQB001V0</t>
  </si>
  <si>
    <t>MZY610FT10FT67P5KV0</t>
  </si>
  <si>
    <t>6 SIDED CANOPY SHELTER</t>
  </si>
  <si>
    <t>MZY612FT12FT604DRV0</t>
  </si>
  <si>
    <t>GLDU7246065</t>
  </si>
  <si>
    <t>Packing list=CZ-055906</t>
  </si>
  <si>
    <t>NASLSBY215002P76DV0</t>
  </si>
  <si>
    <t>WHEEL DOLLY</t>
  </si>
  <si>
    <t>NASLSBY415002SZ5TV0</t>
  </si>
  <si>
    <t>BEAU4243644, FFAU2882889</t>
  </si>
  <si>
    <t>list=FR-052081, list=IT-049334</t>
  </si>
  <si>
    <t>NASLSBYC4J20EOR8CV0</t>
  </si>
  <si>
    <t>NBTJHSJS000045L8F001V0</t>
  </si>
  <si>
    <t>CCHANGING TABLES</t>
  </si>
  <si>
    <t>9403991010</t>
  </si>
  <si>
    <t>CAIU7733254, FFAU1763669, MEDU7133728, MEDU8801415, MSBU6615068, MSBU8246837, MSCU5085389, MSMU7678871, MSMU8074217, TCLU4986759, TGBU9853870</t>
  </si>
  <si>
    <t>Packing list=CZ-056445, Packing list=CZ-056449, Packing list=FR-056464, Packing list=FR-056466, Packing list=FR-056467, Packing list=IT-056490, Packing list=IT-056491, Packing list=PL-056510, Packing list=IT-056493, Packing list=PL-055437, Packing list=PL-056500</t>
  </si>
  <si>
    <t>NCFJDK315INCEAU1J001V0</t>
  </si>
  <si>
    <t>MUD KITCHEN</t>
  </si>
  <si>
    <t>NCFJDK45INCHNEFDE001V0</t>
  </si>
  <si>
    <t>NCFZHK23INCHQL46K001V0</t>
  </si>
  <si>
    <t>NHGJSPZ40INC64GX7V0</t>
  </si>
  <si>
    <t>WEATHER RESISTANT STEEL METAL EDGING</t>
  </si>
  <si>
    <t>7326903000, 7326909890</t>
  </si>
  <si>
    <t>CSNU5799944, MSDU5652681, SELU4270474, TGHU6404666</t>
  </si>
  <si>
    <t>list=CZ-050497, list=ES-049339, list=FR-049321, list=FR-052067</t>
  </si>
  <si>
    <t>NHGJSPZ6PCS4V29W9V0</t>
  </si>
  <si>
    <t>NHGJSPZ6PCS4X0485V0</t>
  </si>
  <si>
    <t>NJBSTZJT3820GGBT3V0</t>
  </si>
  <si>
    <t>NJZBTTBSSYS0183I3V0</t>
  </si>
  <si>
    <t>TORQUE MULTIPLIER</t>
  </si>
  <si>
    <t>NSSC33YCYTJ02L4PRV0</t>
  </si>
  <si>
    <t>FARMHOUSE SINK</t>
  </si>
  <si>
    <t>7324100090</t>
  </si>
  <si>
    <t>NTJYGD25FT6GHRGKFV0</t>
  </si>
  <si>
    <t>FLEXIBLE DUCT</t>
  </si>
  <si>
    <t>8307900090</t>
  </si>
  <si>
    <t>CAIU8407170, MSCU4594885, MSMU7674578, UETU8215795</t>
  </si>
  <si>
    <t>Packing list=CZ-056029, Packing list=FR-054885, Packing list=FR-054887, Packing list=PL-054906</t>
  </si>
  <si>
    <t>NTJYGD625FT020G41V0</t>
  </si>
  <si>
    <t>OCS-T-5TDZDC00001V2</t>
  </si>
  <si>
    <t>CRANE SCALE</t>
  </si>
  <si>
    <t>8423109000</t>
  </si>
  <si>
    <t>BEAU4243644, CMAU4567738, FFAU2254455, TGHU9193042</t>
  </si>
  <si>
    <t>list=CZ-050495, list=FR-052064, list=FR-052081, list=IT-052075</t>
  </si>
  <si>
    <t>OGBXCDQDXPMD3A8MZV2</t>
  </si>
  <si>
    <t>AC EV CHARGER</t>
  </si>
  <si>
    <t>OGBXCDQDXZSDDCSO4V2</t>
  </si>
  <si>
    <t>OSTCZCLTGSYKFAPH8001V0</t>
  </si>
  <si>
    <t>TRAILER JACK</t>
  </si>
  <si>
    <t>PBSMJPD2924IWT07V001V0</t>
  </si>
  <si>
    <t>FLAT THRESHOLD RAMP</t>
  </si>
  <si>
    <t>FCIU8346047, FFAU4034300, MSDU8088467, MSMU7575575, TCNU7880515</t>
  </si>
  <si>
    <t>Packing list=FR-054748, Packing list=FR-054752, Packing list=PL-054771, Packing list=PL-054772, Packing list=PL-055927</t>
  </si>
  <si>
    <t>PBSMJPD3215ICN3GE001V0</t>
  </si>
  <si>
    <t>PBSMJPD39424BQBLK001V0</t>
  </si>
  <si>
    <t>PBSPQF404633C1DFPV2</t>
  </si>
  <si>
    <t>AIRBRUSH BOOTH</t>
  </si>
  <si>
    <t>8424897000</t>
  </si>
  <si>
    <t>PBSXLK6439IN24IDC001V0</t>
  </si>
  <si>
    <t>PDSLPJ36CMBSL9JGJ002V2</t>
  </si>
  <si>
    <t>POTTERY WHEEL MACHINE</t>
  </si>
  <si>
    <t>PDSLPJ36CMBSL9JGJV2</t>
  </si>
  <si>
    <t>POTTERY WHEEL MACHINE, PULLING MACHINE</t>
  </si>
  <si>
    <t>8474809000</t>
  </si>
  <si>
    <t>PDSLPJ36CMLS1DYKR002V2</t>
  </si>
  <si>
    <t>PDSLPJ36CMLS1DYKRV2</t>
  </si>
  <si>
    <t>POTTERY WHEEL</t>
  </si>
  <si>
    <t>PDSLPJBSJSTM1XGFT001V2</t>
  </si>
  <si>
    <t>PDSLPJBSSLTM85KA2001V2</t>
  </si>
  <si>
    <t>PDSSJ59X157IYEP9OV2</t>
  </si>
  <si>
    <t>BELT CONVEYER</t>
  </si>
  <si>
    <t>8428330000</t>
  </si>
  <si>
    <t>PDSSJ59X78INQJ12NV2</t>
  </si>
  <si>
    <t>PDSSJ71X78INYBXO3V2</t>
  </si>
  <si>
    <t>PEWSM1225FT000001V0</t>
  </si>
  <si>
    <t>GREENHOUSE PLASTIC FILM</t>
  </si>
  <si>
    <t>PEWSM1540FT000001V0</t>
  </si>
  <si>
    <t>PEWSM2028FT000001V0</t>
  </si>
  <si>
    <t>PEWSM825FT0000001V0</t>
  </si>
  <si>
    <t>PFLQQCX40QTYAB111001V0</t>
  </si>
  <si>
    <t>FLOATING COOLER</t>
  </si>
  <si>
    <t>BEAU5878887</t>
  </si>
  <si>
    <t>Packing list=CZ-055658</t>
  </si>
  <si>
    <t>PFLQQCX40QTYB2PRO001V0</t>
  </si>
  <si>
    <t>PFLQQCX40QTYEJT1X001V0</t>
  </si>
  <si>
    <t>PFZPCWKTY66FH7THI001V0</t>
  </si>
  <si>
    <t>SCREEN HOUSE TENT</t>
  </si>
  <si>
    <t>PFZPJCKTY66FLDCZ8001V0</t>
  </si>
  <si>
    <t>PFZPTMKTY66F16OET001V0</t>
  </si>
  <si>
    <t>PGGJTZPGGJB9IDTH8V0</t>
  </si>
  <si>
    <t>LEATHER WORKING TOOLS KIT</t>
  </si>
  <si>
    <t>PHJSYSXZKPHC7C2HD001V2</t>
  </si>
  <si>
    <t>BENCHTOP METER</t>
  </si>
  <si>
    <t>9027893000</t>
  </si>
  <si>
    <t>PHTMYJTPSG35NCT7KV0</t>
  </si>
  <si>
    <t>KAYAK ANCHOR KIT</t>
  </si>
  <si>
    <t>7316000000</t>
  </si>
  <si>
    <t>PHXLQ58CMKLW2964PV0</t>
  </si>
  <si>
    <t>BALANCE BALL TRAINER</t>
  </si>
  <si>
    <t>PJ-DLYJPNC15YFO-001</t>
  </si>
  <si>
    <t>LCD SCREEN 720P</t>
  </si>
  <si>
    <t>MSBU8246837</t>
  </si>
  <si>
    <t>Packing list=CZ-056449</t>
  </si>
  <si>
    <t>PJ-GQPMZCBY5I60-001</t>
  </si>
  <si>
    <t>9 INCH LCD SCREEN 1080P</t>
  </si>
  <si>
    <t>8531202090</t>
  </si>
  <si>
    <t>PJ-HSBLXWDLYXBX-001</t>
  </si>
  <si>
    <t>YELLOW FIBERGLASS CABLE 50M</t>
  </si>
  <si>
    <t>PJ-JSQZB0DGMI38-001</t>
  </si>
  <si>
    <t>RECEIVER MOTHERBOARD</t>
  </si>
  <si>
    <t>8466935000</t>
  </si>
  <si>
    <t>PJ-JTCSX30G7UIP-001</t>
  </si>
  <si>
    <t>HOLDING WIRE</t>
  </si>
  <si>
    <t>8544429090</t>
  </si>
  <si>
    <t>PJ-KZQXSPDLBI1F-001</t>
  </si>
  <si>
    <t>CIRCUIT BOARD</t>
  </si>
  <si>
    <t>8516900099</t>
  </si>
  <si>
    <t>PJ-SXTBMYGTQ7G6-001</t>
  </si>
  <si>
    <t>F-TYPE CAMERA</t>
  </si>
  <si>
    <t>8525500000</t>
  </si>
  <si>
    <t>PJ-SXTE0PGUYJFJ-001</t>
  </si>
  <si>
    <t>A-TYPE CAMERA</t>
  </si>
  <si>
    <t>PJ-XSPZBM4MUCXW-001</t>
  </si>
  <si>
    <t>HD BATTERY BOX MOTHERBOARD 100M</t>
  </si>
  <si>
    <t>PJ-XWQTAENRY3F6-001</t>
  </si>
  <si>
    <t>TEMPERATURE CONTROLLER</t>
  </si>
  <si>
    <t>PJ-ZJXKCIA66HM6-001</t>
  </si>
  <si>
    <t>ADAPTER CABLE</t>
  </si>
  <si>
    <t>8544421000</t>
  </si>
  <si>
    <t>PJDHPJ1JTSDS4A196001V0</t>
  </si>
  <si>
    <t>DEMOLITON ACCESSORIES</t>
  </si>
  <si>
    <t>8207199000</t>
  </si>
  <si>
    <t>PJDHPJ1JTSDS7H9OB001V0</t>
  </si>
  <si>
    <t>PJDHPJ1JTSDSI5VAB001V0</t>
  </si>
  <si>
    <t>PJDHPJ3JTSDS656C8001V0</t>
  </si>
  <si>
    <t>PJDHPJ4JTSDSCQUN5001V0</t>
  </si>
  <si>
    <t>PJDHPJ6JTSDSGR3NM001V0</t>
  </si>
  <si>
    <t>PJSRZZWQ12PC0AI8JV0</t>
  </si>
  <si>
    <t>ARTIFICIAL PLANT WALL</t>
  </si>
  <si>
    <t>MSMU8858857, UETU8218304</t>
  </si>
  <si>
    <t>Packing list=CZ-056027, Packing list=PL-054905</t>
  </si>
  <si>
    <t>PJSRZZWQ12PCUTY5VV0</t>
  </si>
  <si>
    <t>ARTIFICIAL PLANT WALL, ARTIﬁCIAL PLANT WALL</t>
  </si>
  <si>
    <t>MSMU6966528, MSMU7674578, UETU8215795, UETU8218304</t>
  </si>
  <si>
    <t>Packing list=CZ-056029, Packing list=FR-054887, Packing list=FR-054889, Packing list=PL-054905</t>
  </si>
  <si>
    <t>PJSRZZWQ1PC6W1AEBV0</t>
  </si>
  <si>
    <t>PJSRZZWQ8PCSJMWS1V0</t>
  </si>
  <si>
    <t>PJTSYCLX4JT52T1GJ001V0</t>
  </si>
  <si>
    <t>POOL FILTER CARTRIDGES</t>
  </si>
  <si>
    <t>8421999099</t>
  </si>
  <si>
    <t>PJWLQJQCCKLZ99IZUV0</t>
  </si>
  <si>
    <t>CLEANING GUN</t>
  </si>
  <si>
    <t>MSMU5573763, MSMU6966528, TCNU7119933</t>
  </si>
  <si>
    <t>Packing list=CZ-056030, Packing list=FR-054889, Packing list=PL-056045</t>
  </si>
  <si>
    <t>PJWLQJQCCKXJ8M52GV0</t>
  </si>
  <si>
    <t>PJWLQJQPYKXJZQV6TV0</t>
  </si>
  <si>
    <t>PLTFXMPG0000ZIP9AV0</t>
  </si>
  <si>
    <t>PILATES ACCESSORIES</t>
  </si>
  <si>
    <t>9506911000</t>
  </si>
  <si>
    <t>PLTHXCFMBKZDONXRIV0</t>
  </si>
  <si>
    <t>PLTHXCLKZD008JUJ3V0</t>
  </si>
  <si>
    <t>PLTHXCTKZDRMEMMESV0</t>
  </si>
  <si>
    <t>PLTHXCXJMBKZB7ZU2V0</t>
  </si>
  <si>
    <t>PMQGJHT1PMQGD20CMV2</t>
  </si>
  <si>
    <t>ELECTRIC HEATING WIRE CUTTING MACHINE</t>
  </si>
  <si>
    <t>PMQGJKD6PMQGD0001V2</t>
  </si>
  <si>
    <t>PPGJS9CWG5H1V3P7JV0</t>
  </si>
  <si>
    <t>CLIMBING BARS</t>
  </si>
  <si>
    <t>PPGJS9CWG7H103KXNV0</t>
  </si>
  <si>
    <t>PQ10L15MM40MM6P5YV0</t>
  </si>
  <si>
    <t>PQGJZMSO115CMJ7VLV2</t>
  </si>
  <si>
    <t>PQGKGQPXKKGJK9EFD001V0</t>
  </si>
  <si>
    <t>MANUAL TUBE EXPANDER KIT</t>
  </si>
  <si>
    <t>PQGKGQSDKGQT3YT6B001V0</t>
  </si>
  <si>
    <t>PQJHS0000000UN1T6V0</t>
  </si>
  <si>
    <t>PAINT RACK</t>
  </si>
  <si>
    <t>PQSBJPJSW1500PQJSV0</t>
  </si>
  <si>
    <t>WATERFALL POOL FOUNTAIN</t>
  </si>
  <si>
    <t>PQSBJPJSW300PQJSKV0</t>
  </si>
  <si>
    <t>PQSBJPJSW600PQJSKV0</t>
  </si>
  <si>
    <t>PQSBJPJYCHGPT0001V0</t>
  </si>
  <si>
    <t>PQTBDOX10LDHOBYECV0</t>
  </si>
  <si>
    <t>PQTOX2L18MMBQ0RHWV0</t>
  </si>
  <si>
    <t>PQYCLS5030CMWMXP3V0</t>
  </si>
  <si>
    <t>AIRLESS SPRAY ACCESSORY KIT</t>
  </si>
  <si>
    <t>8424300100</t>
  </si>
  <si>
    <t>PQYLGOXCGKSDZDMT6001V0</t>
  </si>
  <si>
    <t>PQYLGOXSDX40MEAEJ001V0</t>
  </si>
  <si>
    <t>PRESSURE PAINT POTS</t>
  </si>
  <si>
    <t>PQYLGZDXOX10JBIGIV0</t>
  </si>
  <si>
    <t>PRESSURE PAINT POT</t>
  </si>
  <si>
    <t>PSG5JL6125PS7XJMJV0</t>
  </si>
  <si>
    <t>ABRASIVE BLASTER TANK</t>
  </si>
  <si>
    <t>PSJ-SB00000000001V2</t>
  </si>
  <si>
    <t>SAND BLASTER CABINET</t>
  </si>
  <si>
    <t>PSJ60JLW0000PHICYV2</t>
  </si>
  <si>
    <t>PSQJDCSSDS12CVWP6001V0</t>
  </si>
  <si>
    <t>BOTTLE JACK</t>
  </si>
  <si>
    <t>PSQJDCSSDS20AUFBY001V0</t>
  </si>
  <si>
    <t>PSZZDPKSLEVAFSL9AV0</t>
  </si>
  <si>
    <t>TREE CLIMBING SPIKES</t>
  </si>
  <si>
    <t>PSZZPZCZHKPZ0IXFTV0</t>
  </si>
  <si>
    <t>PSZZYSDPKBLX0E055V0</t>
  </si>
  <si>
    <t>PTSLSHL300LBWVV3H001V0</t>
  </si>
  <si>
    <t>PTTYXTTYWBXL8VIN5002V0</t>
  </si>
  <si>
    <t>PORTABLE RECLINING CAMPING CHAIR</t>
  </si>
  <si>
    <t>PTYG59INCHTYUB9P3001V0</t>
  </si>
  <si>
    <t>FREESTANDING TUBS</t>
  </si>
  <si>
    <t>PU3DQBTRFSFT8BTQ4V0</t>
  </si>
  <si>
    <t>WALL PANELS</t>
  </si>
  <si>
    <t>3921139000</t>
  </si>
  <si>
    <t>PVCBRRJTZYGJ4IS8AV2</t>
  </si>
  <si>
    <t>8515801000</t>
  </si>
  <si>
    <t>PVCBRRJTZYGJ6Z5W7V2</t>
  </si>
  <si>
    <t>PVCLSCKDDPVC15JH8001V0</t>
  </si>
  <si>
    <t>PVCLSCKDDPVC9AKRO001V0</t>
  </si>
  <si>
    <t>3918101010, 3918109090</t>
  </si>
  <si>
    <t>FFAU2882889, SELU4270474, TEMU6360421, TEMU7049081</t>
  </si>
  <si>
    <t>list=ES-049339, list=ES-049340, list=FR-049322, list=IT-049334</t>
  </si>
  <si>
    <t>PVCLSCKDDPVCATRWI001V0</t>
  </si>
  <si>
    <t>FFAU2882889, MSMU8224934, SELU4270474, TEMU6360421, TEMU7049081</t>
  </si>
  <si>
    <t>list=ES-049339, list=ES-049340, list=FR-049322, list=FR-052059, list=IT-049334</t>
  </si>
  <si>
    <t>PVCLSCKDDPVCGJRBB001V0</t>
  </si>
  <si>
    <t>FFAU2882889, SELU4270474, TEMU6360421, TEMU7049081, TGBU8682068</t>
  </si>
  <si>
    <t>list=ES-049339, list=ES-049340, list=FR-049322, list=IT-049334, list=IT-049336</t>
  </si>
  <si>
    <t>PVCLSCKDDPVCSZMMI001V0</t>
  </si>
  <si>
    <t>FFAU2882889, SELU4270474, TEMU6360421, TEMU7049081, TGBU8682068, TGHU9193042</t>
  </si>
  <si>
    <t>list=ES-049339, list=ES-049340, list=FR-049322, list=FR-052064, list=IT-049334, list=IT-049336</t>
  </si>
  <si>
    <t>PVCLSCKDDPVCWH8WG001V0</t>
  </si>
  <si>
    <t>FFAU2882889, MSMU8224934, SELU4270474, TEMU6360421, TEMU7049081, TGBU8682068</t>
  </si>
  <si>
    <t>list=ES-049339, list=ES-049340, list=FR-049322, list=FR-052059, list=IT-049334, list=IT-049336</t>
  </si>
  <si>
    <t>PWQBXG8L000000001V0</t>
  </si>
  <si>
    <t>AUTO-PRESSURE SPRAYER</t>
  </si>
  <si>
    <t>PY600ACKMJ0000001V2</t>
  </si>
  <si>
    <t>PYJ100WLDS00LFCS4V2</t>
  </si>
  <si>
    <t>AIR PURIFIER</t>
  </si>
  <si>
    <t>PYJ150WLDS002A4K5V2</t>
  </si>
  <si>
    <t>PYJQDDY450LFT0DSYV2</t>
  </si>
  <si>
    <t>SOLDER FUME EXTRACTOR</t>
  </si>
  <si>
    <t>PYMKMJNLCTPYG4B0Q001V2</t>
  </si>
  <si>
    <t>SLIDING GATE OPENER</t>
  </si>
  <si>
    <t>CAIU7733254, MSDU5115018, MSMU6450125</t>
  </si>
  <si>
    <t>Packing list=CZ-056446, Packing list=IT-056492, Packing list=PL-056510</t>
  </si>
  <si>
    <t>PYMKMJNLCTPYKORE9001V2</t>
  </si>
  <si>
    <t>PYMKMJNLCTPYVLDIZ001V2</t>
  </si>
  <si>
    <t>MSDU5115018, MSMU6450125, MSMU8753250</t>
  </si>
  <si>
    <t>Packing list=CZ-056446, Packing list=IT-056492, Packing list=PL-056503</t>
  </si>
  <si>
    <t>PZMLPZPTLGGHM3MQ3V0</t>
  </si>
  <si>
    <t>3920499090</t>
  </si>
  <si>
    <t>PZMLPZPTLGGHMBT3GV0</t>
  </si>
  <si>
    <t>PZMLPZPTLGGHMIW1WV0</t>
  </si>
  <si>
    <t>PZMLPZPTLGGHMP1QJV0</t>
  </si>
  <si>
    <t>PZMLPZPTLGGHMRDOEV0</t>
  </si>
  <si>
    <t>PZPVCML3684I40ZNP001V0</t>
  </si>
  <si>
    <t>PZPVCML3684IYI4EF001V0</t>
  </si>
  <si>
    <t>PZSHLK37INCHKRE4E001V2</t>
  </si>
  <si>
    <t>7321900000, 8516601000</t>
  </si>
  <si>
    <t>CAAU6920828, MSBU8204493, UETU7801282</t>
  </si>
  <si>
    <t>Packing list=CZ-056443, Packing list=FR-055405, Packing list=IT-056489</t>
  </si>
  <si>
    <t>PZSHLK46INCH4KCB0001V2</t>
  </si>
  <si>
    <t>ELECTRIC ROTISSERIE</t>
  </si>
  <si>
    <t>PZSHLK46INCH9KCOB001V2</t>
  </si>
  <si>
    <t>7321900000, 8543709099</t>
  </si>
  <si>
    <t>PZSHLK52INCH1P0ZI001V2</t>
  </si>
  <si>
    <t>PZZWTCTCS000ZMVB2001V0</t>
  </si>
  <si>
    <t>POTTED PLANT MOVER DOLLY</t>
  </si>
  <si>
    <t>QBGZJBXPPYZSPRL1KV0</t>
  </si>
  <si>
    <t>CRUTCH</t>
  </si>
  <si>
    <t>QBLZDZTG10J4LFBL1V0</t>
  </si>
  <si>
    <t>POST BASE</t>
  </si>
  <si>
    <t>QBLZDZTG4J20C0NC4V0</t>
  </si>
  <si>
    <t>QBLZDZTG4J20OWF6J001V0</t>
  </si>
  <si>
    <t>FULL ENCIRCLEMENT POST BASE</t>
  </si>
  <si>
    <t>QBLZDZTG4J20Y2BH6001V0</t>
  </si>
  <si>
    <t>QBLZDZTG4J44INMMHV0</t>
  </si>
  <si>
    <t>QBLZDZTG8J20KQCNP001V0</t>
  </si>
  <si>
    <t>QBWZCL14YCHS4N9UIV0</t>
  </si>
  <si>
    <t>PLANT CAGES &amp; SUPPORT</t>
  </si>
  <si>
    <t>FSCU6992068</t>
  </si>
  <si>
    <t>Packing list=CZ-056028</t>
  </si>
  <si>
    <t>QCAHXFQTJQG200Q7GV0</t>
  </si>
  <si>
    <t>DENT REPAIR TOOL KIT</t>
  </si>
  <si>
    <t>8205901000</t>
  </si>
  <si>
    <t>QCDSDFDQDLGFV8A3E001V9</t>
  </si>
  <si>
    <t>PORTABLE TIRE INFLATORS</t>
  </si>
  <si>
    <t>QCDSDFDQDLGFXXOY0001V9</t>
  </si>
  <si>
    <t>QCDSDFDQDLGFZYK7J001V9</t>
  </si>
  <si>
    <t>QCJLFDJPN111STLK3001V9</t>
  </si>
  <si>
    <t>CAR ALTERNATORS</t>
  </si>
  <si>
    <t>8511500090</t>
  </si>
  <si>
    <t>CSNU5799944</t>
  </si>
  <si>
    <t>list=FR-049321</t>
  </si>
  <si>
    <t>QCPYP15JLSYYLBYC1V0</t>
  </si>
  <si>
    <t>LOW PROFILE OIL DRAIN</t>
  </si>
  <si>
    <t>MSBU5511156, MSDU8587147, UETU6075441</t>
  </si>
  <si>
    <t>Packing list=CZ-054516, Packing list=PL-054560, Packing list=PL-054561</t>
  </si>
  <si>
    <t>QCPYP17GSYSYLBYC1V0</t>
  </si>
  <si>
    <t>QDCJBSQS1INCZTFRR001V0</t>
  </si>
  <si>
    <t>AIR IMPACT WRENCH</t>
  </si>
  <si>
    <t>QDPQZLSPQTJSKNQUY001V0</t>
  </si>
  <si>
    <t>AIR SPRAY GUN KIT</t>
  </si>
  <si>
    <t>8424200000</t>
  </si>
  <si>
    <t>QDPSQJD20TZJBUH6W002V0</t>
  </si>
  <si>
    <t>QDSCYGHJLSK000001V0</t>
  </si>
  <si>
    <t>BRAKE/CLUTCH BLEEDER SET</t>
  </si>
  <si>
    <t>8412390090</t>
  </si>
  <si>
    <t>QGQLXTZFDW00V1K3YV0</t>
  </si>
  <si>
    <t>HOCKEY GOAL</t>
  </si>
  <si>
    <t>9506620000</t>
  </si>
  <si>
    <t>MEDU8801415, MSBU6615068, MSBU7581677, MSCU5085389</t>
  </si>
  <si>
    <t>Packing list=FR-056464, Packing list=IT-056490, Packing list=PL-055437, Packing list=PL-056502</t>
  </si>
  <si>
    <t>QGYMQJGZ34M24YJ92V0</t>
  </si>
  <si>
    <t>FLAGPOLE</t>
  </si>
  <si>
    <t>QJD20T150MMSXYY01V0</t>
  </si>
  <si>
    <t>HYDRAULIC CYLINDER</t>
  </si>
  <si>
    <t>8412218090</t>
  </si>
  <si>
    <t>QJD5TDDSXYYCK0001V9</t>
  </si>
  <si>
    <t>QJD5TSBQNS0000001V0</t>
  </si>
  <si>
    <t>QJDSDRYJBSBJLH92I001V2</t>
  </si>
  <si>
    <t>QJDSQCJYLJWSY5V9OV0</t>
  </si>
  <si>
    <t>SHOP PRESS</t>
  </si>
  <si>
    <t>8462611000</t>
  </si>
  <si>
    <t>QJDSQCYYJC12TU73BV0</t>
  </si>
  <si>
    <t>12 TON SHOP PRESS</t>
  </si>
  <si>
    <t>8462691000</t>
  </si>
  <si>
    <t>FFAU4034300, MSDU8088467, MSMU7575575</t>
  </si>
  <si>
    <t>Packing list=FR-054748, Packing list=PL-054771, Packing list=PL-054772</t>
  </si>
  <si>
    <t>QJDSQCYYJCS6T0LECV0</t>
  </si>
  <si>
    <t>6 TON SHOP PRESS</t>
  </si>
  <si>
    <t>QJDZJ3D21DBLDXKV4001V0</t>
  </si>
  <si>
    <t>JACK STAND</t>
  </si>
  <si>
    <t>QJDZJ6D22DBLLRECP001V0</t>
  </si>
  <si>
    <t>CSNU5799944, CSNU8950231, SELU4270474</t>
  </si>
  <si>
    <t>list=ES-049339, list=FR-049320, list=FR-049321</t>
  </si>
  <si>
    <t>QKLR9800W3042CKX1V2</t>
  </si>
  <si>
    <t>CHOCOLATE MELTER</t>
  </si>
  <si>
    <t>8419818090</t>
  </si>
  <si>
    <t>QKXBMJSNLDGGTNJRVV0</t>
  </si>
  <si>
    <t>PIE CUT LAZY SUSAN CABINET BLIND CORNER ORGANIZER</t>
  </si>
  <si>
    <t>FFAU1763669, MSDU7341776, MSMU6450125, MSNU8909623, TCLU5196126</t>
  </si>
  <si>
    <t>Packing list=CZ-056444, Packing list=CZ-056448, Packing list=FR-056466, Packing list=IT-056492, Packing list=PL-056511</t>
  </si>
  <si>
    <t>QL363026YCTJW44KTV0</t>
  </si>
  <si>
    <t>SPORTS BALL STORAGE CART</t>
  </si>
  <si>
    <t>QL452425YCTJG7AS3V0</t>
  </si>
  <si>
    <t>QLQDZCLBQ23POOGIK001V0</t>
  </si>
  <si>
    <t>FRONT WHEEL DRIVE BEARING PULLER</t>
  </si>
  <si>
    <t>QLZSLXLCPTHCVQZ0V001V0</t>
  </si>
  <si>
    <t>DI RESIN FILTER REFILL</t>
  </si>
  <si>
    <t>8421210090</t>
  </si>
  <si>
    <t>QMDMJ750WZDZKDDD1V2</t>
  </si>
  <si>
    <t>WALL SANDER</t>
  </si>
  <si>
    <t>QMKCJ125DDDJGDYO1V2</t>
  </si>
  <si>
    <t>CONCRETE SAW</t>
  </si>
  <si>
    <t>QNQJDBSDBS3T7N3M0001V0</t>
  </si>
  <si>
    <t>QNQJDDBSZB3T62CNAV0</t>
  </si>
  <si>
    <t>8425420000, 8425490000</t>
  </si>
  <si>
    <t>BEAU4243644, CAAU6199835, CMAU9767404</t>
  </si>
  <si>
    <t>list=CZ-050499, list=CZ-050502, list=FR-052081</t>
  </si>
  <si>
    <t>QNQJDDBSZB3T62XMUV0</t>
  </si>
  <si>
    <t>BEAU4243644, CMAU4731862</t>
  </si>
  <si>
    <t>list=CZ-050496, list=FR-052081</t>
  </si>
  <si>
    <t>QNQJDDBSZB3T67XL2V0</t>
  </si>
  <si>
    <t>QNQJDDBSZB3T6S7CKV0</t>
  </si>
  <si>
    <t>QNQJDDBSZB5T64PKJV0</t>
  </si>
  <si>
    <t>QNQJDSTSDB3T6FRDFV0</t>
  </si>
  <si>
    <t>BEAU4243644, CMAU4567738</t>
  </si>
  <si>
    <t>list=CZ-050495, list=FR-052081</t>
  </si>
  <si>
    <t>QNQJDSTSDB3T6KPLRV0</t>
  </si>
  <si>
    <t>BEAU4243644, CMAU9767404</t>
  </si>
  <si>
    <t>list=CZ-050502, list=FR-052081</t>
  </si>
  <si>
    <t>QNQJDSTSFX3T6NR3WV0</t>
  </si>
  <si>
    <t>BEAU4243644, CMAU4731862, FSCU8031100, MSBU7968460, MSMU8224934</t>
  </si>
  <si>
    <t>list=CZ-050496, list=FR-052059, list=FR-052081, list=IT-049338, list=IT-052076</t>
  </si>
  <si>
    <t>QPCFJHSGDS135KHB8001V0</t>
  </si>
  <si>
    <t>QPZBZSZCGQ88C9HVQ001V2</t>
  </si>
  <si>
    <t>MUSIC ELECTRIC KEYBOARD</t>
  </si>
  <si>
    <t>QPZBZSZCGQ88DTDH4001V2</t>
  </si>
  <si>
    <t>QPZBZSZCGQ88EEXG3001V2</t>
  </si>
  <si>
    <t>QQGYCQJJH800WLZFVV2</t>
  </si>
  <si>
    <t>PORTABLE AIR HPA COMPRESSOR DOUBLE-CYLINDER</t>
  </si>
  <si>
    <t>8414807590</t>
  </si>
  <si>
    <t>QRSSCBXGPGTXUB256V0</t>
  </si>
  <si>
    <t>STAINLESS STEEL KITCHEN SINK</t>
  </si>
  <si>
    <t>QRSSCTSPDC40TOW17V0</t>
  </si>
  <si>
    <t>QRSSCTSPDC40Y87XBV0</t>
  </si>
  <si>
    <t>QRSSCTSPDC553X2FZV0</t>
  </si>
  <si>
    <t>QRSSCTSPDC559DN6GV0</t>
  </si>
  <si>
    <t>QRSSCTSPDC68413CDV0</t>
  </si>
  <si>
    <t>QRSSCTSPDC689LBYCV0</t>
  </si>
  <si>
    <t>QRSSCTXPDC500RVRGV0</t>
  </si>
  <si>
    <t>QRSSCTXPDC703LNVJV0</t>
  </si>
  <si>
    <t>QSCWMLMTZ3P0SPOWKV0</t>
  </si>
  <si>
    <t>CAIU8407170, TCLU5729903</t>
  </si>
  <si>
    <t>Packing list=FR-054888, Packing list=PL-054906</t>
  </si>
  <si>
    <t>QSCWMMMTZ3P0M9RKUV0</t>
  </si>
  <si>
    <t>QSNKCQPPQZJ46REPAV0</t>
  </si>
  <si>
    <t>INFLATABLE BUMPER BALLS</t>
  </si>
  <si>
    <t>QSSCQJXTCDLJDS255V0</t>
  </si>
  <si>
    <t>CLEANING CART</t>
  </si>
  <si>
    <t>QSSCQJXTCDLJDVL0SV0</t>
  </si>
  <si>
    <t>QSYQP05L1GYQ5YQU4V0</t>
  </si>
  <si>
    <t>DIVING RESPIRATOR</t>
  </si>
  <si>
    <t>QSYQP05L1GYQMNE2PV0</t>
  </si>
  <si>
    <t>QSYQP05L1GYQUMU7LV0</t>
  </si>
  <si>
    <t>QTGLZDSDJSHR1MQDJV0</t>
  </si>
  <si>
    <t>CROWD CONTROL STANCHION</t>
  </si>
  <si>
    <t>QTGLZDSDJSHRA7EPFV0</t>
  </si>
  <si>
    <t>QTGLZDSDJSHRHMRUWV0</t>
  </si>
  <si>
    <t>QTGLZDSDJSHRY7U7XV0</t>
  </si>
  <si>
    <t>QTGLZDSDYSHR7HYX2V0</t>
  </si>
  <si>
    <t>QTLYZYYXFFLHUCI91V0</t>
  </si>
  <si>
    <t>QTLYZYYXFSLHE5HTXV0</t>
  </si>
  <si>
    <t>QTYTXSJBGSZX8R57S001V0</t>
  </si>
  <si>
    <t>WALL MOUNTED PULL UP BAR</t>
  </si>
  <si>
    <t>QXJ0.8LCSB0000001V2</t>
  </si>
  <si>
    <t>QXJ15LXNS00000001V2</t>
  </si>
  <si>
    <t>QXJPS-30AJHJPQX01V2</t>
  </si>
  <si>
    <t>QXKLSKYJ220VTGFCI001V2</t>
  </si>
  <si>
    <t>VERTICAL AIR COMPRESSOR</t>
  </si>
  <si>
    <t>8414808090</t>
  </si>
  <si>
    <t>QXKSCG4PCS45TE3HL001V0</t>
  </si>
  <si>
    <t>QUICK SUPPORT ROD</t>
  </si>
  <si>
    <t>7325100010</t>
  </si>
  <si>
    <t>QXLJCCJHSSL22WPXE001V0</t>
  </si>
  <si>
    <t>PARTS STORAGE CABINETS</t>
  </si>
  <si>
    <t>QXLJCCJHSSL2PD7V4001V0</t>
  </si>
  <si>
    <t>QXLJCCJHSSL34MCNT001V0</t>
  </si>
  <si>
    <t>QXLJCCJHSSL4WY8LA001V0</t>
  </si>
  <si>
    <t>QXLJCCJHSSL6E17D1001V0</t>
  </si>
  <si>
    <t>QXNGDHJ6L220VOP3ZV2</t>
  </si>
  <si>
    <t>QXNKJ34552500KZOQV0</t>
  </si>
  <si>
    <t>ENDOSCOPE CAMERA</t>
  </si>
  <si>
    <t>QXSCJ48QYGLJ9DV44V0</t>
  </si>
  <si>
    <t>TOW BEHIND DETHATCHER</t>
  </si>
  <si>
    <t>QXSCJDHC40QYY2E4BV0</t>
  </si>
  <si>
    <t>QXZT1JM1611282C68001V0</t>
  </si>
  <si>
    <t>CORE DRILL BIT</t>
  </si>
  <si>
    <t>QXZT1JM161INOJHZT001V0</t>
  </si>
  <si>
    <t>QXZT1JM162121AYK2001V0</t>
  </si>
  <si>
    <t>QXZT1JM162INDM0WL001V0</t>
  </si>
  <si>
    <t>QXZT1JM164INDZ42Q001V0</t>
  </si>
  <si>
    <t>QXZTSS114YC7O71RJ001V0</t>
  </si>
  <si>
    <t>QYP4820INCHLZE73AV0</t>
  </si>
  <si>
    <t>DRAG HARROW</t>
  </si>
  <si>
    <t>QYP66INCHESQIYRIOV0</t>
  </si>
  <si>
    <t>DRAG HARROW DRIVEWAY</t>
  </si>
  <si>
    <t>QYP7220INCHL3QEWVV0</t>
  </si>
  <si>
    <t>DRAG HARROW, DRAG HARROW DRIVEWAY</t>
  </si>
  <si>
    <t>QYP84INCHESQ4BZP2V0</t>
  </si>
  <si>
    <t>QYSCPGL400B353QE4V0</t>
  </si>
  <si>
    <t>TRACTION LAWN ROLLER</t>
  </si>
  <si>
    <t>QYZSKJZX233356UORV0</t>
  </si>
  <si>
    <t>JERSEY DISPLAY FRAME</t>
  </si>
  <si>
    <t>QZDBXJSWT508-JE01V2</t>
  </si>
  <si>
    <t>QZDCLWCC8718VDYLAV2</t>
  </si>
  <si>
    <t>METAL LATHE</t>
  </si>
  <si>
    <t>QZJSG-299A4000001V0</t>
  </si>
  <si>
    <t>8441101000</t>
  </si>
  <si>
    <t>QZSJJTJYZGS0NVYUIV0</t>
  </si>
  <si>
    <t>LASER TELESCOPING POLE WITH TRIPOD</t>
  </si>
  <si>
    <t>CAIU8091272, GLDU7246065, TGHU9810798</t>
  </si>
  <si>
    <t>Packing list=CZ-055905, Packing list=CZ-055906, Packing list=FR-054749</t>
  </si>
  <si>
    <t>QZZT612INCH86GK4UV0</t>
  </si>
  <si>
    <t>8PCS PLIERS SET</t>
  </si>
  <si>
    <t>FFAU1763669, MSMU8087533, TCLU5196126</t>
  </si>
  <si>
    <t>Packing list=CZ-056444, Packing list=FR-056466, Packing list=PL-056501</t>
  </si>
  <si>
    <t>RBK1800DNJBNRMFC1001V0</t>
  </si>
  <si>
    <t>CART BAG</t>
  </si>
  <si>
    <t>RGYJQYYRGYJQ7GRGD001V0</t>
  </si>
  <si>
    <t>RGZSJ27L2C00I797ZV2</t>
  </si>
  <si>
    <t>FOOD WARMER DISPLAY</t>
  </si>
  <si>
    <t>MSDU5115018, MSMU8950984, TCLU4986759</t>
  </si>
  <si>
    <t>Packing list=CZ-056446, Packing list=FR-056465, Packing list=PL-056500</t>
  </si>
  <si>
    <t>RLTYT10L1200WXSVPV2</t>
  </si>
  <si>
    <t>ITEM</t>
  </si>
  <si>
    <t>CAAU6920828, MEDU8801415, MSBU6615068, MSBU8204493, UETU7801282</t>
  </si>
  <si>
    <t>Packing list=CZ-056443, Packing list=FR-055405, Packing list=FR-056464, Packing list=IT-056489, Packing list=PL-055437</t>
  </si>
  <si>
    <t>RQLJ14INCHEC4M9U6001V0</t>
  </si>
  <si>
    <t>GAS CHAINSAWS</t>
  </si>
  <si>
    <t>8467298500</t>
  </si>
  <si>
    <t>MSDU7691060, MSMU7055486, UETU6075441</t>
  </si>
  <si>
    <t>Packing list=CZ-055657, Packing list=PL-054561, Packing list=PL-055704</t>
  </si>
  <si>
    <t>RQLLJDGNG43CC2PQ0V0</t>
  </si>
  <si>
    <t>GAS HEDGE TRIMMER</t>
  </si>
  <si>
    <t>8433199000</t>
  </si>
  <si>
    <t>RQLLJSCSDZDLJ28IJV0</t>
  </si>
  <si>
    <t>8436801000</t>
  </si>
  <si>
    <t>RSPF3MCSPM00JNXOXV0</t>
  </si>
  <si>
    <t>RSPF4MBCSPMMN139F001V0</t>
  </si>
  <si>
    <t>WOODEN PARTITION</t>
  </si>
  <si>
    <t>RSPF4MBLXTA08J8ANV0</t>
  </si>
  <si>
    <t>RSPF6MBCSPM0FUO7OV0</t>
  </si>
  <si>
    <t>RSPF6MBCSPMH830WZ001V0</t>
  </si>
  <si>
    <t>RSPF6MBLXTA0U7GKTV0</t>
  </si>
  <si>
    <t>RSYGFS57INCHO7V0BV0</t>
  </si>
  <si>
    <t>7610909092</t>
  </si>
  <si>
    <t>RXZXCL200000JB7YEV0</t>
  </si>
  <si>
    <t>RYPBYSJ65HPBQ4O2D001V0</t>
  </si>
  <si>
    <t>PLATE COMPACTOR</t>
  </si>
  <si>
    <t>8430610000</t>
  </si>
  <si>
    <t>RZCP06INCH10S4WB2001V0</t>
  </si>
  <si>
    <t>TRUF GRASS</t>
  </si>
  <si>
    <t>RZCP06INCH120657X001V0</t>
  </si>
  <si>
    <t>RZCP06INCH18OP0M7001V0</t>
  </si>
  <si>
    <t>RZCP138INCH1XQSHB001V0</t>
  </si>
  <si>
    <t>RZCP138INCH6088OA001V0</t>
  </si>
  <si>
    <t>RZMGHSBS60PC37DSG001V0</t>
  </si>
  <si>
    <t>ARTIFICIAL FLOWERS BULK</t>
  </si>
  <si>
    <t>RZMGHSHS500PL0LEE001V0</t>
  </si>
  <si>
    <t>RZMGHSHS60PCJZU97001V0</t>
  </si>
  <si>
    <t>MSMU8858857, TCLU5729903, UETU8218304</t>
  </si>
  <si>
    <t>Packing list=CZ-056027, Packing list=FR-054888, Packing list=PL-054905</t>
  </si>
  <si>
    <t>RZRDZWLXS5FT31TZT001V0</t>
  </si>
  <si>
    <t>ARTI CIAL TROPICAL PLANTS</t>
  </si>
  <si>
    <t>RZRDZWSWK5FTDOZIW001V0</t>
  </si>
  <si>
    <t>RZS5FTGLSSLX6A0M6001V0</t>
  </si>
  <si>
    <t>ARTIFICIAL TREE</t>
  </si>
  <si>
    <t>MSDU5115018, MSMU8950984, TCLU4986759, TGBU9853870</t>
  </si>
  <si>
    <t>Packing list=CZ-056446, Packing list=FR-056465, Packing list=IT-056491, Packing list=PL-056500</t>
  </si>
  <si>
    <t>RZS5FTRSSLX05VE6P001V0</t>
  </si>
  <si>
    <t>RZS6FTGLSSLXM8JC0001V0</t>
  </si>
  <si>
    <t>RZS6FTRSSLX0JAOF6001V0</t>
  </si>
  <si>
    <t>RZS7FTGLSSLXJQEIZ001V0</t>
  </si>
  <si>
    <t>RZXQBS105PCSKMGDN001V0</t>
  </si>
  <si>
    <t>RZXQBS205PCS6HW4T001V0</t>
  </si>
  <si>
    <t>MSMU8858857, TCLU8016320, UETU8215795, UETU8218304</t>
  </si>
  <si>
    <t>Packing list=CZ-056026, Packing list=CZ-056027, Packing list=FR-054887, Packing list=PL-054905</t>
  </si>
  <si>
    <t>RZXQBS65PCS76XY7T001V0</t>
  </si>
  <si>
    <t>S10T240CR16MM3UYFV0</t>
  </si>
  <si>
    <t>HYDRAULIC PUNCH DRIVER</t>
  </si>
  <si>
    <t>S12HP5CFM110VBGFDV2</t>
  </si>
  <si>
    <t>SBJJGKYS220B670I5001V2</t>
  </si>
  <si>
    <t>ICE CRUSHER</t>
  </si>
  <si>
    <t>SBZDSLH1Z00045VTTV2</t>
  </si>
  <si>
    <t>WATCH WINDER</t>
  </si>
  <si>
    <t>SBZDSLH2Z0001PWIXV2</t>
  </si>
  <si>
    <t>SBZDSLH8Z0008YD62V2</t>
  </si>
  <si>
    <t>SCHJTC400LB18XD9NV0</t>
  </si>
  <si>
    <t>SCJGSZKJ180M5QBRCV2</t>
  </si>
  <si>
    <t>SCJGSZKJ180MCECVDV2</t>
  </si>
  <si>
    <t>SCJGSZKJ4YC4QTP1M001V2</t>
  </si>
  <si>
    <t>SCJGSZKJ4YC4R55DJ001V2</t>
  </si>
  <si>
    <t>SCJGSZKJ5YC4XLJI7001V2</t>
  </si>
  <si>
    <t>SCJGSZKJ6YCWKW1BQV2</t>
  </si>
  <si>
    <t>SCJGSZKJ6YCYM6E1DV2</t>
  </si>
  <si>
    <t>SCJGSZKJYCY44KHH6V2</t>
  </si>
  <si>
    <t>DIAMOND CORE DRILL</t>
  </si>
  <si>
    <t>SCLDBTJHBCGCLRIKCV0</t>
  </si>
  <si>
    <t>STUNT SCOOTER</t>
  </si>
  <si>
    <t>SCPBCHJG700L9TGYT001V0</t>
  </si>
  <si>
    <t>2 TIER PLATFORM TRUCK</t>
  </si>
  <si>
    <t>SCPSSKPX30FTF5ZUVV0</t>
  </si>
  <si>
    <t>LAKE WEED CUTTER-ROPE</t>
  </si>
  <si>
    <t>SCSQYDZJJH68LJ3X2V0</t>
  </si>
  <si>
    <t>FENCE POST DRIVER</t>
  </si>
  <si>
    <t>SCSQYDZJJH68YC45BV0</t>
  </si>
  <si>
    <t>SCSQYDZJJH95OBHIQV0</t>
  </si>
  <si>
    <t>CAAU5661620, MSMU7055486</t>
  </si>
  <si>
    <t>Packing list=CZ-055655, Packing list=PL-055704</t>
  </si>
  <si>
    <t>SCSYHWRXY28I8QOUT001V9</t>
  </si>
  <si>
    <t>SCSYHWRXY28IBVSXH001V9</t>
  </si>
  <si>
    <t>SCWSQBGSWGWS1EGM7V0</t>
  </si>
  <si>
    <t>LIVESTOCK FEEDER</t>
  </si>
  <si>
    <t>SCWSQCSWSQ45LEOTGV0</t>
  </si>
  <si>
    <t>BEAU4243644, TCNU2185423, TIIU4570916</t>
  </si>
  <si>
    <t>list=CZ-050503, list=FR-050518, list=FR-052081</t>
  </si>
  <si>
    <t>SCYGHGJLHQFXFXT01V0</t>
  </si>
  <si>
    <t>SD15T240CR2MM8SYBV0</t>
  </si>
  <si>
    <t>BEAU5878887, MSDU8279268, TXGU6715988</t>
  </si>
  <si>
    <t>Packing list=CZ-055658, Packing list=CZ-055660, Packing list=PL-055706</t>
  </si>
  <si>
    <t>SDCGLJDQDJQS8Q4OL001V9</t>
  </si>
  <si>
    <t>SDGLWQJG614381V21V0</t>
  </si>
  <si>
    <t>MANUAL RATCHET PIPE THREADER</t>
  </si>
  <si>
    <t>FSCU8031100, MSBU7968460</t>
  </si>
  <si>
    <t>list=IT-049338, list=IT-052076</t>
  </si>
  <si>
    <t>SDGZJBXZZK8M8DKWOV0</t>
  </si>
  <si>
    <t>MANUAL POLE SAW</t>
  </si>
  <si>
    <t>8202100000</t>
  </si>
  <si>
    <t>BEAU4243644, CBHU9175188, TGHU6404666</t>
  </si>
  <si>
    <t>list=CZ-050497, list=FR-052081, list=IT-049337</t>
  </si>
  <si>
    <t>SDGZJBXZZK8M8K9PGV0</t>
  </si>
  <si>
    <t>BEAU4243644, CMAU4731862, FSCU8031100</t>
  </si>
  <si>
    <t>list=CZ-050496, list=FR-052081, list=IT-049338</t>
  </si>
  <si>
    <t>SDJBQ31YC15MHUSH7V0</t>
  </si>
  <si>
    <t>HAND SHEAR</t>
  </si>
  <si>
    <t>SDJPCZDJSDJPPUWQ8V0</t>
  </si>
  <si>
    <t>8302419000, 8425190000</t>
  </si>
  <si>
    <t>CMAU9767404, TEMU6360421, TEMU7049081, TGBU8682068</t>
  </si>
  <si>
    <t>list=CZ-050502, list=ES-049340, list=FR-049322, list=IT-049336</t>
  </si>
  <si>
    <t>SDJXGJTZ314PG37EV001V0</t>
  </si>
  <si>
    <t>MECHANIC TOOLS SET</t>
  </si>
  <si>
    <t>SDKBJ600W30OZ607EV2</t>
  </si>
  <si>
    <t>SDKMJHSY85441L0XUV2</t>
  </si>
  <si>
    <t>SDKSCJ12YCSDEULO7001V0</t>
  </si>
  <si>
    <t>8201900000, 8436809000</t>
  </si>
  <si>
    <t>SDKSCJ13YCSDM3MZQ001V0</t>
  </si>
  <si>
    <t>SDKSCJ16YCSD0KBWD001V0</t>
  </si>
  <si>
    <t>SDKSCJ16YCSDQGTX3001V0</t>
  </si>
  <si>
    <t>SDKSCJ19YCSDLYB2M001V0</t>
  </si>
  <si>
    <t>CAIU7733254, MSDU5115018</t>
  </si>
  <si>
    <t>Packing list=CZ-056446, Packing list=PL-056510</t>
  </si>
  <si>
    <t>SDKSCJ24YCSDM4MOH001V0</t>
  </si>
  <si>
    <t>SDKYLJGG05T0AP25JV0</t>
  </si>
  <si>
    <t>8205510000, 8207301010, 8479893000</t>
  </si>
  <si>
    <t>SDKYLJGG1T00BW6W1V0</t>
  </si>
  <si>
    <t>SDKYLJGG3T00FECX1V0</t>
  </si>
  <si>
    <t>SDKYLJGGSL1T2G169V0</t>
  </si>
  <si>
    <t>SDKZTFS12INCHTWCT001V2</t>
  </si>
  <si>
    <t>WALL MOUNTED VENT FANS</t>
  </si>
  <si>
    <t>8414592590</t>
  </si>
  <si>
    <t>SDLSBXGGCJ1542JTX001V0</t>
  </si>
  <si>
    <t>SAUSAGE STUFFER</t>
  </si>
  <si>
    <t>8438500000</t>
  </si>
  <si>
    <t>SDLSBXGGCJ7L5STTEV0</t>
  </si>
  <si>
    <t>FFAU2882889, UETU5958499</t>
  </si>
  <si>
    <t>list=FR-049319, list=IT-049334</t>
  </si>
  <si>
    <t>SDLSPYPJS8GACGQU6001V0</t>
  </si>
  <si>
    <t>UPRIGHT OIL DRAIN</t>
  </si>
  <si>
    <t>SDMC1500W722VBGPTV2</t>
  </si>
  <si>
    <t>BELT GRINDER SANDER, SANDER</t>
  </si>
  <si>
    <t>8465930000</t>
  </si>
  <si>
    <t>SDMC1500W728DDD10V2</t>
  </si>
  <si>
    <t>BELT GRINDER SANDER</t>
  </si>
  <si>
    <t>MSCU4599790</t>
  </si>
  <si>
    <t>list=PL-052083</t>
  </si>
  <si>
    <t>SDMC550W301ITG5FHV2</t>
  </si>
  <si>
    <t>BELT GRINDER SANDER, BELT GRINDERS FOR KNIFE MAKING</t>
  </si>
  <si>
    <t>CSNU8950231, MSCU4599790, SELU4270474</t>
  </si>
  <si>
    <t>list=ES-049339, list=FR-049320, list=PL-052083</t>
  </si>
  <si>
    <t>SDPSQJD4TZJSEQ86I001V0</t>
  </si>
  <si>
    <t>SDQZJZXQZJ15AQ68NV0</t>
  </si>
  <si>
    <t>GUILLOTINE TRIMMER</t>
  </si>
  <si>
    <t>SDQZJZXQZJ184TBKTV0</t>
  </si>
  <si>
    <t>SDRNJ5YCYZLQQTAF7V0</t>
  </si>
  <si>
    <t>SDSDCDB000003P0SDV0</t>
  </si>
  <si>
    <t>HOT TUB COVER LIFT</t>
  </si>
  <si>
    <t>MSNU9759770, TCNU1401533, TGBU9853870, UETU7801282</t>
  </si>
  <si>
    <t>Packing list=FR-055406, Packing list=IT-056489, Packing list=IT-056491, Packing list=PL-055436</t>
  </si>
  <si>
    <t>SDSDGC450LBS0UGP0001V0</t>
  </si>
  <si>
    <t>PALLET STACKERS</t>
  </si>
  <si>
    <t>8427109000</t>
  </si>
  <si>
    <t>SDSDGC450LBSBFRXI001V0</t>
  </si>
  <si>
    <t>FFAU2254455, FFAU2882889, SELU4270474, UETU5958499</t>
  </si>
  <si>
    <t>list=ES-049339, list=FR-049319, list=IT-049334, list=IT-052075</t>
  </si>
  <si>
    <t>SDSJXKKMJFS2WRUEJ001V2</t>
  </si>
  <si>
    <t>SDSJXKKMJLS4MLGQ4001V2</t>
  </si>
  <si>
    <t>SDSLCTX00000JG2D1V0</t>
  </si>
  <si>
    <t>SDSLPGYHJ18XT44PEV0</t>
  </si>
  <si>
    <t>LEATHER EMBOSSING MACHINE</t>
  </si>
  <si>
    <t>8453100000</t>
  </si>
  <si>
    <t>SDSLPGYHJ26XK2HM6V0</t>
  </si>
  <si>
    <t>SDSLPGYHJ26XWNZX0V0</t>
  </si>
  <si>
    <t>SDSLPGYHJ28XE5XVZV0</t>
  </si>
  <si>
    <t>SDTPTC48INCHC0JR3001V0</t>
  </si>
  <si>
    <t>PALLET JACKS TRUCKS</t>
  </si>
  <si>
    <t>CMAU4567738, CMAU9767404</t>
  </si>
  <si>
    <t>list=CZ-050495, list=CZ-050502</t>
  </si>
  <si>
    <t>SDWSPYCJS25GYTTAY001V0</t>
  </si>
  <si>
    <t>OIL TANKER</t>
  </si>
  <si>
    <t>SDXP8YC275BJBHP02001V0</t>
  </si>
  <si>
    <t>SUCKER</t>
  </si>
  <si>
    <t>SDXZJBXZZK8M58IMZ001V0</t>
  </si>
  <si>
    <t>SDXZJBXZZK8MZ3YEE001V0</t>
  </si>
  <si>
    <t>SDYMJBXGY1524JECGV0</t>
  </si>
  <si>
    <t>SDYMJBXGYC153X6H5V0</t>
  </si>
  <si>
    <t>SDYMJJPBXG183C2ZX001V0</t>
  </si>
  <si>
    <t>SDYPTBJHSBDD2AX6YV0</t>
  </si>
  <si>
    <t>LABELING MACHINE</t>
  </si>
  <si>
    <t>SDYYDKQBXS10YI1LX001V0</t>
  </si>
  <si>
    <t>HYDRAULIC KNOCKOUT PUNCH SET</t>
  </si>
  <si>
    <t>SDYYDKQBXS15U0JZ8001V0</t>
  </si>
  <si>
    <t>SG-520EDYHJ000001V2</t>
  </si>
  <si>
    <t>CREASING MACHINE</t>
  </si>
  <si>
    <t>8440109000</t>
  </si>
  <si>
    <t>SG24L5000W12L1KYVV2</t>
  </si>
  <si>
    <t>CAAU6920828, FFAU3066180, MEDU8801415, MSBU8204493, MSMU8074217, TCLU4986759, TCNU1401533, TGBU9853870</t>
  </si>
  <si>
    <t>Packing list=CZ-056443, Packing list=CZ-056447, Packing list=FR-055405, Packing list=FR-056464, Packing list=IT-056491, Packing list=IT-056493, Packing list=PL-055436, Packing list=PL-056500</t>
  </si>
  <si>
    <t>SG24L5000W12LIEZIV2</t>
  </si>
  <si>
    <t>DUAL TANK ELECTRIC DEEP FRYER</t>
  </si>
  <si>
    <t>SGBGQHS1830Y9H8XC001V0</t>
  </si>
  <si>
    <t>DRYWALL STILTS</t>
  </si>
  <si>
    <t>SGBGQLS2440Y0PJGU001V0</t>
  </si>
  <si>
    <t>SGBGQYS1624IXL0AJ001V0</t>
  </si>
  <si>
    <t>SGDTHG510TSGJJRQO001V0</t>
  </si>
  <si>
    <t>SANDING BELTS</t>
  </si>
  <si>
    <t>6805100000</t>
  </si>
  <si>
    <t>SGDYHG1015TS7YTUH001V0</t>
  </si>
  <si>
    <t>SGFZK5C20X2094SW8V0</t>
  </si>
  <si>
    <t>SGHGJ400W6G01Z5W8V2</t>
  </si>
  <si>
    <t>FRUIT DRYING MACHINE</t>
  </si>
  <si>
    <t>SGHGJ400W8CTHLWETV2</t>
  </si>
  <si>
    <t>SGHGJ800W12CKZAQ8V2</t>
  </si>
  <si>
    <t>SGJLDSGJ2X154A5JAV0</t>
  </si>
  <si>
    <t>J-HOOK RATCHET STRAP</t>
  </si>
  <si>
    <t>SGJLDSGJ2X274K91FV0</t>
  </si>
  <si>
    <t>SGJPC2GG175FIFFBUV0</t>
  </si>
  <si>
    <t>PRESSURE WASHER HOSE REEL CART</t>
  </si>
  <si>
    <t>BEAU4243644, CSNU5799944, FFAU2882889, SELU4270474</t>
  </si>
  <si>
    <t>list=ES-049339, list=FR-049321, list=FR-052081, list=IT-049334</t>
  </si>
  <si>
    <t>SGJPC2JLTG2YS8QFK001V0</t>
  </si>
  <si>
    <t>WATER HOSE REEL CART</t>
  </si>
  <si>
    <t>SGJPC4GG250F34JV2V0</t>
  </si>
  <si>
    <t>SGJPC4GG300FALXR0V0</t>
  </si>
  <si>
    <t>FFAU2254455, MSBU7968460, MSMU7812851, TEMU6360421, TEMU7049081, UETU7729439</t>
  </si>
  <si>
    <t>list=ES-049340, list=FR-049322, list=FR-052065, list=FR-052066, list=IT-052075, list=IT-052076</t>
  </si>
  <si>
    <t>SGWSQJDLTSG3T41DVV0</t>
  </si>
  <si>
    <t>SGWSQJDTZ4TXABSW9001V0</t>
  </si>
  <si>
    <t>HYDRAULIC FLOOR JACKS</t>
  </si>
  <si>
    <t>SGWSQJDTZSG3T59SHV0</t>
  </si>
  <si>
    <t>SHJJSBDLZ10TTF8J1001V0</t>
  </si>
  <si>
    <t>SHLSJTZ12MM46MJLSV0</t>
  </si>
  <si>
    <t>LIFTING PULLEYS &amp; SHEAVES, LIFTING PULLEYS AND SHEAVES</t>
  </si>
  <si>
    <t>CARU5285706, CLHU8567219, DRYU9392353, TGHU9810798</t>
  </si>
  <si>
    <t>Packing list=CZ-055905, Packing list=CZ-055908, Packing list=PL-054774, Packing list=PL-055928</t>
  </si>
  <si>
    <t>SHYYPJ3H10000SGWWV0</t>
  </si>
  <si>
    <t>ROLLING MILL</t>
  </si>
  <si>
    <t>SHYYPJ3H157M2T9N9V0</t>
  </si>
  <si>
    <t>SJ350W0300RPM8VTNV2</t>
  </si>
  <si>
    <t>DRAWING MACHINE, POTTERY WHEEL MACHINE</t>
  </si>
  <si>
    <t>SJDLYPD20207V3IGL001V0</t>
  </si>
  <si>
    <t>CURB RAMP</t>
  </si>
  <si>
    <t>4016995790</t>
  </si>
  <si>
    <t>SJDLYPD38659LG3X9001V0</t>
  </si>
  <si>
    <t>SJDLYPDGB1197GOBVV0</t>
  </si>
  <si>
    <t>SJDLYPDGB1197IMYQV0</t>
  </si>
  <si>
    <t>SJDLYPDGB2190CQUPV0</t>
  </si>
  <si>
    <t>SJDLYPDGB2197XHMWV0</t>
  </si>
  <si>
    <t>SJJLSHL500LB1FD1G001V0</t>
  </si>
  <si>
    <t>SJJSTYYZJDTPORD0VV0</t>
  </si>
  <si>
    <t>MOTORIZED PROJECTOR LIFT</t>
  </si>
  <si>
    <t>SJJSTYYZJSTP3861GV0</t>
  </si>
  <si>
    <t>SJLDSJGMTZDLV1SLQV0</t>
  </si>
  <si>
    <t>MSBU6615068, MSCU5085389, MSNU9759770, TCNU1401533</t>
  </si>
  <si>
    <t>Packing list=FR-055406, Packing list=IT-056490, Packing list=PL-055436, Packing list=PL-055437</t>
  </si>
  <si>
    <t>SJSLHL12T10FTSUCF001V0</t>
  </si>
  <si>
    <t>7326200040, 8311300000, 8425190000</t>
  </si>
  <si>
    <t>CMAU9767404, MSBU7968460, TEMU6360421, TGHU9193042</t>
  </si>
  <si>
    <t>list=CZ-050502, list=ES-049340, list=FR-052064, list=IT-052076</t>
  </si>
  <si>
    <t>SJSLHL1T10FTTAGIT001V0</t>
  </si>
  <si>
    <t>7326200040, 8425190000</t>
  </si>
  <si>
    <t>CMAU3392208, TEMU6360421, TGBU8682068</t>
  </si>
  <si>
    <t>list=CZ-050500, list=ES-049340, list=IT-049336</t>
  </si>
  <si>
    <t>SJSLHL1T20FT5KGC0001V0</t>
  </si>
  <si>
    <t>CMAU9767404, MSBU7968460, TEMU6360421</t>
  </si>
  <si>
    <t>list=CZ-050502, list=ES-049340, list=IT-052076</t>
  </si>
  <si>
    <t>SJSLHL2T10FTYL4CI001V0</t>
  </si>
  <si>
    <t>MSBU7968460, TCKU6211341, TEMU6360421</t>
  </si>
  <si>
    <t>list=CZ-050501, list=ES-049340, list=IT-052076</t>
  </si>
  <si>
    <t>SJSLHL2T20FTWWEG0001V0</t>
  </si>
  <si>
    <t>SJSLHL3T10FTV6ULT001V0</t>
  </si>
  <si>
    <t>CMAU4731862, TCKU6211341</t>
  </si>
  <si>
    <t>list=CZ-050496, list=CZ-050501</t>
  </si>
  <si>
    <t>SJSLHL3T20FTM28SX001V0</t>
  </si>
  <si>
    <t>SJTJZGSGZ14HSQWVHV0</t>
  </si>
  <si>
    <t>DRUM SET</t>
  </si>
  <si>
    <t>SJTJZGSGZ14LBTYZAV0</t>
  </si>
  <si>
    <t>DRUM SET, THREE PIECE DRUM SET</t>
  </si>
  <si>
    <t>4421991000, 9206000000</t>
  </si>
  <si>
    <t>SJXJSQDKBP21YH3A3001V0</t>
  </si>
  <si>
    <t>3 POINT HITCH RECEIVER</t>
  </si>
  <si>
    <t>7326909890, 8708999790</t>
  </si>
  <si>
    <t>SJXTMJ156INCIFMC8001V2</t>
  </si>
  <si>
    <t>PLUCKER MACHINE</t>
  </si>
  <si>
    <t>SJXTMJ20INCH390WQ001V2</t>
  </si>
  <si>
    <t>CHICKEN PLUCKER MACHINE</t>
  </si>
  <si>
    <t>CSNU6554247</t>
  </si>
  <si>
    <t>list=FR-050517</t>
  </si>
  <si>
    <t>SJYYSJPTCCS4BSRWBV0</t>
  </si>
  <si>
    <t>HYDRAULIC LIFT TABLE</t>
  </si>
  <si>
    <t>SJZDZDDJ2J703SIXNV2</t>
  </si>
  <si>
    <t>STANDING DESK FRAME</t>
  </si>
  <si>
    <t>SJZDZDDJ2J708LJKOV2</t>
  </si>
  <si>
    <t>SJZDZHS641291IBWCV2</t>
  </si>
  <si>
    <t>SJZDZSDJ2J70USLE4V2</t>
  </si>
  <si>
    <t>SJZJGBZJYGHW5ZTBVV0</t>
  </si>
  <si>
    <t>SHELF-BRACKETS</t>
  </si>
  <si>
    <t>SJZJGBZJYGHW8B1EKV0</t>
  </si>
  <si>
    <t>SJZJGBZJYGHW9SCUQV0</t>
  </si>
  <si>
    <t>SJZJGBZJYGHWBDSOJV0</t>
  </si>
  <si>
    <t>SJZJGBZJYGHWJF4D6V0</t>
  </si>
  <si>
    <t>SJZJGBZJYGHWMVHQJV0</t>
  </si>
  <si>
    <t>SJZJGBZJYGHWOM9OXV0</t>
  </si>
  <si>
    <t>SJZMZBDDZBDC3SG4Z001V0</t>
  </si>
  <si>
    <t>DRAFTING TABLES</t>
  </si>
  <si>
    <t>SK12WH1211TPUW669V0</t>
  </si>
  <si>
    <t>SK52WH1211TPU2ZI9V0</t>
  </si>
  <si>
    <t>SKCDL32WH1111REAEV0</t>
  </si>
  <si>
    <t>SKCDL52WH1111U72JV0</t>
  </si>
  <si>
    <t>SKCDLBHPD1CXNRQY1001V0</t>
  </si>
  <si>
    <t>SKFDT3ZKP65M9AYZOV9</t>
  </si>
  <si>
    <t>SL253258MM300D5JWV0</t>
  </si>
  <si>
    <t>BUTTON MAKER MACHINE</t>
  </si>
  <si>
    <t>CAIU4774748, MSNU9531841</t>
  </si>
  <si>
    <t>Packing list=PL-054557, Packing list=PL-054558</t>
  </si>
  <si>
    <t>SLADLDKYBSKZMJKP1V0</t>
  </si>
  <si>
    <t>PLASTIC ADIRONDACK CHAIRS</t>
  </si>
  <si>
    <t>9401991010</t>
  </si>
  <si>
    <t>SLADLDKYHSKZ8TB0XV0</t>
  </si>
  <si>
    <t>SLADLDKYHSKZUB86TV0</t>
  </si>
  <si>
    <t>SLBDBMDMW32HOLW7G001V0</t>
  </si>
  <si>
    <t>4418298000</t>
  </si>
  <si>
    <t>SLBGLQBS15LBTBW7AV0</t>
  </si>
  <si>
    <t>POOL FILTER BALLS</t>
  </si>
  <si>
    <t>8421999010</t>
  </si>
  <si>
    <t>SLBGLQBS35LBKXA16V0</t>
  </si>
  <si>
    <t>SLBGLQBS46LB1DYQ4V0</t>
  </si>
  <si>
    <t>SLBGLQLS15LBXYI1DV0</t>
  </si>
  <si>
    <t>SLBGLQLS31LBCUMQJV0</t>
  </si>
  <si>
    <t>SLBGLQLS4LBSZKI05V0</t>
  </si>
  <si>
    <t>SLCZJJX4U14INEEV8001V0</t>
  </si>
  <si>
    <t>RACK CASE</t>
  </si>
  <si>
    <t>SLCZJJX4U19IETHFP001V0</t>
  </si>
  <si>
    <t>CAAU6920828, MEDU8801415, MSBU7304672, MSCU5085389</t>
  </si>
  <si>
    <t>Packing list=CZ-056443, Packing list=FR-056464, Packing list=IT-056490, Packing list=PL-056499</t>
  </si>
  <si>
    <t>SLCZJJX6U14INCBHP001V0</t>
  </si>
  <si>
    <t>SLCZJJX8U12IS0INT001V0</t>
  </si>
  <si>
    <t>SLCZJJX8U19IZICFK001V0</t>
  </si>
  <si>
    <t>SLDBYD12INCHJ3MO9V0</t>
  </si>
  <si>
    <t>SALON MAT</t>
  </si>
  <si>
    <t>SLDBYD12INCHKZ382V0</t>
  </si>
  <si>
    <t>SLDFXD12INCHUHS2IV0</t>
  </si>
  <si>
    <t>SLDLJD12INCHQYV9OV0</t>
  </si>
  <si>
    <t>SLDLJD1INCH4ZKKURV0</t>
  </si>
  <si>
    <t>SLDLT100W2D27TFTLV2</t>
  </si>
  <si>
    <t>PLASTIC WELDING KIT</t>
  </si>
  <si>
    <t>8468100000</t>
  </si>
  <si>
    <t>SLDSDKZGJPET31QLE001V0</t>
  </si>
  <si>
    <t>CSNU5799944, FFAU2882889, SELU4270474, TGHU9193042</t>
  </si>
  <si>
    <t>list=ES-049339, list=FR-049321, list=FR-052064, list=IT-049334</t>
  </si>
  <si>
    <t>SLDSDKZGJPP1HQSCM001V0</t>
  </si>
  <si>
    <t>SLDSDKZGJPP1T3ILM001V0</t>
  </si>
  <si>
    <t>SLFTTZZT0000JRPSJ001V0</t>
  </si>
  <si>
    <t>AXE THROW TARGET GAME SET</t>
  </si>
  <si>
    <t>SLHJHQ100W1DYX30YV2</t>
  </si>
  <si>
    <t>SLHJHQ220W1DDIKLEV2</t>
  </si>
  <si>
    <t>DFSU6555268, MSMU5818830</t>
  </si>
  <si>
    <t>Packing list=PL-054556, Packing list=PL-055705</t>
  </si>
  <si>
    <t>SLHJHQ220W1DXUC13V2</t>
  </si>
  <si>
    <t>SLHJHQDLBTJCSDHAGV2</t>
  </si>
  <si>
    <t>SLHJJGJX000000001V2</t>
  </si>
  <si>
    <t>PLASTIC REPAIR MACHINE</t>
  </si>
  <si>
    <t>8468800000</t>
  </si>
  <si>
    <t>BEAU4243644, CAAU6199835, FSCU8031100</t>
  </si>
  <si>
    <t>list=CZ-050499, list=FR-052081, list=IT-049338</t>
  </si>
  <si>
    <t>SLHPW1017INCBMEA6001V0</t>
  </si>
  <si>
    <t>URN PLANTER</t>
  </si>
  <si>
    <t>SLHPW1522INCASRQD001V0</t>
  </si>
  <si>
    <t>SLHPW1522INCDKXP9001V0</t>
  </si>
  <si>
    <t>SLJTCYJ4G6C623ONF001V0</t>
  </si>
  <si>
    <t>CABINET STYLE GARMENT RACK</t>
  </si>
  <si>
    <t>SLJTCYJ4G7C6LU2P5001V0</t>
  </si>
  <si>
    <t>SLJXHABS12X86XOWLV0</t>
  </si>
  <si>
    <t>3926906000, 8303004000</t>
  </si>
  <si>
    <t>SLJXHABS14X138LEDV0</t>
  </si>
  <si>
    <t>SLJXHABS16X1GLKCVV0</t>
  </si>
  <si>
    <t>SLJXHABS20X11PW8VV0</t>
  </si>
  <si>
    <t>SLJYCDDBCY32FOJ7M001V9</t>
  </si>
  <si>
    <t>PLASTIC FUEL CADDY</t>
  </si>
  <si>
    <t>SLJYCDDBCYQYD32IY001V9</t>
  </si>
  <si>
    <t>CAAU5661620, DFSU6555268, UETU7550736</t>
  </si>
  <si>
    <t>Packing list=CZ-055655, Packing list=CZ-055659, Packing list=PL-055705</t>
  </si>
  <si>
    <t>SLJYCSL163MM1YYBQV0</t>
  </si>
  <si>
    <t>FUEL CADDY</t>
  </si>
  <si>
    <t>SLKABSZCTWKB4ALIHV0</t>
  </si>
  <si>
    <t>FOLD DOWN SHOWER SEAT</t>
  </si>
  <si>
    <t>SLKNQWZCWKB1YXHBJV0</t>
  </si>
  <si>
    <t>FFAU2233128, TCLU9113325</t>
  </si>
  <si>
    <t>Packing list=FR-055409, Packing list=IT-055414</t>
  </si>
  <si>
    <t>SLKXZJ2532582VM00V0</t>
  </si>
  <si>
    <t>SLKXZJ25MM500F0YVV0</t>
  </si>
  <si>
    <t>SLKXZJ25MMSLS83X1001V0</t>
  </si>
  <si>
    <t>SLKXZJ32MM500JRFVV0</t>
  </si>
  <si>
    <t>SLKXZJ32MMSLOSODO001V0</t>
  </si>
  <si>
    <t>SLKXZJ58MM100NXJ1V0</t>
  </si>
  <si>
    <t>SLKXZJ58MMSLEPFBY001V0</t>
  </si>
  <si>
    <t>SLKXZJ75MMSLE8N2O001V0</t>
  </si>
  <si>
    <t>SLM10FT100FT8M2U2V0</t>
  </si>
  <si>
    <t>PLASTIC SHEETING</t>
  </si>
  <si>
    <t>SLPBPQAW900DBS001V2</t>
  </si>
  <si>
    <t>SLPZ100FT15I7OUMN001V0</t>
  </si>
  <si>
    <t>SLPZ20FT2INCJOHAO001V0</t>
  </si>
  <si>
    <t>SLPZ66FT4INCGWH0J001V0</t>
  </si>
  <si>
    <t>SLTP1GPBXL403BQK2001V0</t>
  </si>
  <si>
    <t>PLASTIC PALLETS</t>
  </si>
  <si>
    <t>SLTP6GFCTPL2QF3YB001V0</t>
  </si>
  <si>
    <t>SLTP6GZJXL19X4EVS001V0</t>
  </si>
  <si>
    <t>SLWDBBSTM15JKN5ETV0</t>
  </si>
  <si>
    <t>PLASTIC ROOF PANELS</t>
  </si>
  <si>
    <t>SLWDBBSTM4FTQ7QHRV0</t>
  </si>
  <si>
    <t>SLZXTC1200B0XEEV4V0</t>
  </si>
  <si>
    <t>PLASTIC DUMP GARDEN CARTS</t>
  </si>
  <si>
    <t>SLZXTC1200B1Y5AYY001V0</t>
  </si>
  <si>
    <t>SLZXTC600B005GQJAV0</t>
  </si>
  <si>
    <t>MSBU7968460, MSNU5329452, TGHU9193042</t>
  </si>
  <si>
    <t>list=FR-052064, list=FR-052068, list=IT-052076</t>
  </si>
  <si>
    <t>SMABSCJMYS30BVNBSV0</t>
  </si>
  <si>
    <t>SMLTCL12FT10OXMXOV0</t>
  </si>
  <si>
    <t>GAZEBO REPLACEMENT PRIVACY CURTAIN</t>
  </si>
  <si>
    <t>6303929090</t>
  </si>
  <si>
    <t>SMMBSCJMHS30RL2L0V0</t>
  </si>
  <si>
    <t>SMMBSCJMHS31CL51JV0</t>
  </si>
  <si>
    <t>MSDU5039896, MSDU5115018, MSMU8950984, TCLU4986759, TGBU9853870</t>
  </si>
  <si>
    <t>Packing list=CZ-056446, Packing list=FR-056465, Packing list=IT-055413, Packing list=IT-056491, Packing list=PL-056500</t>
  </si>
  <si>
    <t>SMSHJPF6X6YCKQEXGV0</t>
  </si>
  <si>
    <t>SMSHJPF6X6YCUPLA3V0</t>
  </si>
  <si>
    <t>MSDU7691060, MSDU8279268, UETU7550736</t>
  </si>
  <si>
    <t>Packing list=CZ-055657, Packing list=CZ-055659, Packing list=PL-055706</t>
  </si>
  <si>
    <t>SMSHJPF6X8YCP2QHUV0</t>
  </si>
  <si>
    <t>SMXWJ3.5X-90XTS01V0</t>
  </si>
  <si>
    <t>STEREO MICROSCOPE</t>
  </si>
  <si>
    <t>9011209000</t>
  </si>
  <si>
    <t>SNLZSLZYGL5FTPDUBV0</t>
  </si>
  <si>
    <t>TCNU7880515, TGHU9726809</t>
  </si>
  <si>
    <t>Packing list=CZ-055907, Packing list=FR-054752</t>
  </si>
  <si>
    <t>SNMJ15FTSNDCNIADY001V0</t>
  </si>
  <si>
    <t>INDOOR FIREWOOD RACK</t>
  </si>
  <si>
    <t>SNMJSNSCK13FAYBYM001V0</t>
  </si>
  <si>
    <t>SPBW120-A120LNMK6V0</t>
  </si>
  <si>
    <t>INSULATED FOOD CASE</t>
  </si>
  <si>
    <t>3924100019</t>
  </si>
  <si>
    <t>SPBW30-D1330LULKRV0</t>
  </si>
  <si>
    <t>FOOD INSULATION BUCKET</t>
  </si>
  <si>
    <t>SPBWXH90-A90LR902V0</t>
  </si>
  <si>
    <t>SPBWXLSLLDPE2ZZ3JV0</t>
  </si>
  <si>
    <t>INSULATED FOOD CARRIERS</t>
  </si>
  <si>
    <t>SPBWXLSLLDPERAWODV0</t>
  </si>
  <si>
    <t>SPDJJFGDQ180LVUOT001V0</t>
  </si>
  <si>
    <t>SEAM SETTER</t>
  </si>
  <si>
    <t>7318290090</t>
  </si>
  <si>
    <t>SPLXNAJKZCSB004JK001V2</t>
  </si>
  <si>
    <t>8504102090</t>
  </si>
  <si>
    <t>SPLXNAJKZCSBWD6B9001V2</t>
  </si>
  <si>
    <t>SPSJJHS95FT1OYROR001V0</t>
  </si>
  <si>
    <t>PANEL LIFT</t>
  </si>
  <si>
    <t>SPSJJHS95FT1QDU00001V0</t>
  </si>
  <si>
    <t>SPSOHSLX1782RF6A0001V0</t>
  </si>
  <si>
    <t>COUPLER LOCK</t>
  </si>
  <si>
    <t>SPSPHTTC10IN15RM2001V0</t>
  </si>
  <si>
    <t>FFAU2882889, SELU4270474, TGBU8682068, UETU5958499</t>
  </si>
  <si>
    <t>list=ES-049339, list=FR-049319, list=IT-049334, list=IT-049336</t>
  </si>
  <si>
    <t>SPSPHTTC10IN3S906001V0</t>
  </si>
  <si>
    <t>KAYAK CART, KAYAK TRAILER</t>
  </si>
  <si>
    <t>7326904000, 8716393000</t>
  </si>
  <si>
    <t>FFAU2882889, TEMU6360421, UETU5958499</t>
  </si>
  <si>
    <t>list=ES-049340, list=FR-049319, list=IT-049334</t>
  </si>
  <si>
    <t>SPSPHTTC10IN9SGI2001V0</t>
  </si>
  <si>
    <t>CSNU8950231, FFAU2882889, MSMU8224934, TEMU6360421</t>
  </si>
  <si>
    <t>list=ES-049340, list=FR-049320, list=FR-052059, list=IT-049334</t>
  </si>
  <si>
    <t>SQBXHCDPMK00UX2ZU001V0</t>
  </si>
  <si>
    <t>SAFE CASE</t>
  </si>
  <si>
    <t>SQBXHCHDDGK0KW4MX001V0</t>
  </si>
  <si>
    <t>SQBXHSKPTK00GDMH0001V0</t>
  </si>
  <si>
    <t>SQJSK0000000I2P0ZV0</t>
  </si>
  <si>
    <t>HAND GUN SAFE</t>
  </si>
  <si>
    <t>SRYETCHSTYPTWPROWV0</t>
  </si>
  <si>
    <t>TANDEM STROLLERS</t>
  </si>
  <si>
    <t>SRYETCSHHSTYEY62GV0</t>
  </si>
  <si>
    <t>CAMPER VAN, TANDEM STROLLERS</t>
  </si>
  <si>
    <t>CSNU8543508, MSBU7968460, MSNU5329452</t>
  </si>
  <si>
    <t>list=FR-049318, list=FR-052068, list=IT-052076</t>
  </si>
  <si>
    <t>SRZPZDSWPJL8FA2L9001V0</t>
  </si>
  <si>
    <t>PRIVACY TENT</t>
  </si>
  <si>
    <t>SSBJZSJL10FTA18ERV0</t>
  </si>
  <si>
    <t>SSG230W1010IN06RWV2</t>
  </si>
  <si>
    <t>SSG350W1012INHX6UV2</t>
  </si>
  <si>
    <t>SSG550W1016INSF6XV2</t>
  </si>
  <si>
    <t>SSGS550W516ING7MPV2</t>
  </si>
  <si>
    <t>SSHSTJ65YCNL00VV5V0</t>
  </si>
  <si>
    <t>SSPGJ000000000001V2</t>
  </si>
  <si>
    <t>JEWELRY BUFFING MACHINE</t>
  </si>
  <si>
    <t>8467223000</t>
  </si>
  <si>
    <t>SSPQDGDST18FTN4HXV0</t>
  </si>
  <si>
    <t>PRESSURE WASHER TELESCOPING WAND</t>
  </si>
  <si>
    <t>8424908080</t>
  </si>
  <si>
    <t>SSPQWST24FT3V8ZVFV0</t>
  </si>
  <si>
    <t>SSSFCPMMLCH2LMQ13V0</t>
  </si>
  <si>
    <t>RV SCREEN DOOR PROTECTOR</t>
  </si>
  <si>
    <t>SSSZYPKQSQBS9HCCKV0</t>
  </si>
  <si>
    <t>RETRACTABLE PATIO  AWNING</t>
  </si>
  <si>
    <t>SSSZYPKQSQBSA2Y80V0</t>
  </si>
  <si>
    <t>SSSZYPKQSQBSGLVEFV0</t>
  </si>
  <si>
    <t>SSSZYPKQSQBSR0WE6V0</t>
  </si>
  <si>
    <t>SSSZYPSDLZS13SP86001V0</t>
  </si>
  <si>
    <t>PATIO AWNING RETRACTABLE</t>
  </si>
  <si>
    <t>MSBU8068680, MSDU8279268, TRHU8526897, TXGU6715988, UETU7550736</t>
  </si>
  <si>
    <t>Packing list=CZ-054519, Packing list=CZ-055659, Packing list=CZ-055660, Packing list=PL-054563, Packing list=PL-055706</t>
  </si>
  <si>
    <t>SSSZYPSDLZS16IV49001V0</t>
  </si>
  <si>
    <t>SSSZYPSDLZS1Y16X0001V0</t>
  </si>
  <si>
    <t>SSSZYPSDLZS78Z4FW001V0</t>
  </si>
  <si>
    <t>SSSZYPSDLZS9B8XQL001V0</t>
  </si>
  <si>
    <t>MSBU8068680, UETU7550736</t>
  </si>
  <si>
    <t>Packing list=CZ-054519, Packing list=CZ-055659</t>
  </si>
  <si>
    <t>SSWL1PCSWLTH4HE6U001V0</t>
  </si>
  <si>
    <t>EXPANDABLE METAL BARRICADE</t>
  </si>
  <si>
    <t>FFAU4034300, MSNU8925183</t>
  </si>
  <si>
    <t>Packing list=FR-054748, Packing list=PL-054770</t>
  </si>
  <si>
    <t>SSWL1PCSWLTHDP2MH001V0</t>
  </si>
  <si>
    <t>SSWL1PCSWLTHMVQ3U001V0</t>
  </si>
  <si>
    <t>SSWL1PCSWLTZVKD1G001V0</t>
  </si>
  <si>
    <t>SSWL1PCSWLTZY1EQN001V0</t>
  </si>
  <si>
    <t>SSYBJY2000W138MZYV2</t>
  </si>
  <si>
    <t>THICKNESSER</t>
  </si>
  <si>
    <t>8465101000</t>
  </si>
  <si>
    <t>CAIU7751371, UETU8215795</t>
  </si>
  <si>
    <t>Packing list=FR-054887, Packing list=PL-054903</t>
  </si>
  <si>
    <t>ST7CUFT26INCHTUA4V0</t>
  </si>
  <si>
    <t>LAWN SWEEPERS</t>
  </si>
  <si>
    <t>8436801000, 9603901000</t>
  </si>
  <si>
    <t>BEAU4243644, MSBU7968460, MSMU7812851, MSNU5329452, TGBU8682068</t>
  </si>
  <si>
    <t>list=FR-052066, list=FR-052068, list=FR-052081, list=IT-049336, list=IT-052076</t>
  </si>
  <si>
    <t>STGSJCPQQ18I7QEX2V0</t>
  </si>
  <si>
    <t>LAWN AERATOR</t>
  </si>
  <si>
    <t>STGSJCPQQ21IUVKE8V0</t>
  </si>
  <si>
    <t>STSCPQSQJH7CDXLLH001V0</t>
  </si>
  <si>
    <t>PUSH LAWN SWEEPER</t>
  </si>
  <si>
    <t>STWSYTGZJ00000001V2</t>
  </si>
  <si>
    <t>SWDCJDBZZSTFHWYUX001V2</t>
  </si>
  <si>
    <t>8470500000</t>
  </si>
  <si>
    <t>SWDCJHZSTFTD6WDID001V2</t>
  </si>
  <si>
    <t>8472908000</t>
  </si>
  <si>
    <t>SWHYM7246INCRTBRAV0</t>
  </si>
  <si>
    <t>CHAIN LINK FENCE GATES</t>
  </si>
  <si>
    <t>SWHYM7248INC0PSZBV0</t>
  </si>
  <si>
    <t>SX-3IN1LHJZDC0001V0</t>
  </si>
  <si>
    <t>HAND TRUCK</t>
  </si>
  <si>
    <t>SXCSBQXJ10L02FU3NV2</t>
  </si>
  <si>
    <t>SXCSBQXJ2L00KDK76V2</t>
  </si>
  <si>
    <t>SXCSBQXJ30L004J75V2</t>
  </si>
  <si>
    <t>SXCSBQXJ3S00MPUCFV2</t>
  </si>
  <si>
    <t>SXCSBQXJ6L00KPIORV2</t>
  </si>
  <si>
    <t>SXDYZHQSD11025EPL001V2</t>
  </si>
  <si>
    <t>VOLTAGE CONVERTER</t>
  </si>
  <si>
    <t>8504318090</t>
  </si>
  <si>
    <t>SXDYZHQSD110XHT37001V2</t>
  </si>
  <si>
    <t>SXGJLD25MM5MK1QXM001V0</t>
  </si>
  <si>
    <t>RATCHET STRAP</t>
  </si>
  <si>
    <t>SXGJLD2INCH11IDZ4001V0</t>
  </si>
  <si>
    <t>SXJJKCSBQXJ1D0UAJ001V2</t>
  </si>
  <si>
    <t>ULTRASONIC CLEANER</t>
  </si>
  <si>
    <t>SXJJKCSBQXJ38E4T5001V2</t>
  </si>
  <si>
    <t>8438801000, 8504102090</t>
  </si>
  <si>
    <t>SXKKJPJJQMINIQHP4V0</t>
  </si>
  <si>
    <t>POCKET HOLE JIG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</si>
</sst>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rgb="FFFFFFFF"/>
      <name val="Arial"/>
      <charset val="134"/>
    </font>
    <font>
      <b/>
      <sz val="9"/>
      <name val="Arial"/>
      <charset val="134"/>
    </font>
    <font>
      <sz val="9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7431;&#27954;&#25968;&#25454;&#24211;6.1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邦达数据库"/>
      <sheetName val="欧盟海关HS"/>
      <sheetName val="司顺查验数据库"/>
    </sheetNames>
    <sheetDataSet>
      <sheetData sheetId="0">
        <row r="1">
          <cell r="A1" t="str">
            <v>SKU</v>
          </cell>
        </row>
        <row r="1">
          <cell r="C1" t="str">
            <v>建议HS</v>
          </cell>
        </row>
        <row r="2">
          <cell r="A2" t="str">
            <v>GLBXXCZBXSL5Q0LQ9001V2</v>
          </cell>
        </row>
        <row r="2">
          <cell r="C2" t="str">
            <v>8418.21.9110</v>
          </cell>
        </row>
        <row r="3">
          <cell r="A3" t="str">
            <v>GLBXXCZBXSL48OM3I001V2</v>
          </cell>
        </row>
        <row r="3">
          <cell r="C3" t="str">
            <v>8418.21.9110</v>
          </cell>
        </row>
        <row r="4">
          <cell r="A4" t="str">
            <v>GLBXXCZBXSL3WX68T001V2</v>
          </cell>
        </row>
        <row r="4">
          <cell r="C4" t="str">
            <v>8418.21.9110</v>
          </cell>
        </row>
        <row r="5">
          <cell r="A5" t="str">
            <v>NYFLQZLGSK5LGS93J001V2</v>
          </cell>
        </row>
        <row r="5">
          <cell r="C5" t="str">
            <v>8421.11.0000</v>
          </cell>
        </row>
        <row r="6">
          <cell r="A6" t="str">
            <v>NYFLQZLGSK5LGS93J001V2</v>
          </cell>
        </row>
        <row r="6">
          <cell r="C6" t="str">
            <v>8421.11.0000</v>
          </cell>
        </row>
        <row r="7">
          <cell r="A7" t="str">
            <v>GDSYD1624110VE26IV2</v>
          </cell>
        </row>
        <row r="7">
          <cell r="C7" t="str">
            <v>8443.39.0000</v>
          </cell>
        </row>
        <row r="8">
          <cell r="A8" t="str">
            <v>GDSYD1620110VW3F4V2</v>
          </cell>
        </row>
        <row r="8">
          <cell r="C8" t="str">
            <v>8443.39.0000</v>
          </cell>
        </row>
        <row r="9">
          <cell r="A9" t="str">
            <v>SGWSQJDTZSG3T59SHV0</v>
          </cell>
        </row>
        <row r="9">
          <cell r="C9" t="str">
            <v>8425.42.0000</v>
          </cell>
        </row>
        <row r="10">
          <cell r="A10" t="str">
            <v>DGWSQJDTDG25TNS38V0</v>
          </cell>
        </row>
        <row r="10">
          <cell r="C10" t="str">
            <v>8425.42.0000</v>
          </cell>
        </row>
        <row r="11">
          <cell r="A11" t="str">
            <v>SGWSQJDLTS15TZLGSV0</v>
          </cell>
        </row>
        <row r="11">
          <cell r="C11" t="str">
            <v>8425.42.0000</v>
          </cell>
        </row>
        <row r="12">
          <cell r="A12" t="str">
            <v>TEQKRD80WYBDC31TVV2</v>
          </cell>
        </row>
        <row r="12">
          <cell r="C12" t="str">
            <v>8438.50.0000</v>
          </cell>
        </row>
        <row r="13">
          <cell r="A13" t="str">
            <v>TEQKRDW80WBDNAO7VV2</v>
          </cell>
        </row>
        <row r="13">
          <cell r="C13" t="str">
            <v>8438.50.0000</v>
          </cell>
        </row>
        <row r="14">
          <cell r="A14" t="str">
            <v>ZT14INCH420J2816ZV0</v>
          </cell>
        </row>
        <row r="14">
          <cell r="C14" t="str">
            <v>8210.00.0000</v>
          </cell>
        </row>
        <row r="15">
          <cell r="A15" t="str">
            <v>ZT38INCH420J2LKZUV0</v>
          </cell>
        </row>
        <row r="15">
          <cell r="C15" t="str">
            <v>8210.00.0000</v>
          </cell>
        </row>
        <row r="16">
          <cell r="A16" t="str">
            <v>PSJ90JLY0000LHGAJ2V2</v>
          </cell>
        </row>
        <row r="16">
          <cell r="C16" t="str">
            <v>8424.30.1000</v>
          </cell>
        </row>
        <row r="17">
          <cell r="A17" t="str">
            <v>PSJ90JLY0000LHGAJ1V2</v>
          </cell>
        </row>
        <row r="17">
          <cell r="C17" t="str">
            <v>8424.30.1000</v>
          </cell>
        </row>
        <row r="18">
          <cell r="A18" t="str">
            <v>FKTHQC314INCHCUDXV0</v>
          </cell>
        </row>
        <row r="18">
          <cell r="C18" t="str">
            <v>8208.30.0000</v>
          </cell>
        </row>
        <row r="19">
          <cell r="A19" t="str">
            <v>BLFWFGQ3MB24LHWZRV0</v>
          </cell>
        </row>
        <row r="19">
          <cell r="C19" t="str">
            <v>9403.89.0090 </v>
          </cell>
        </row>
        <row r="20">
          <cell r="A20" t="str">
            <v>FJ36INCH4ZTDH7M9E001V0</v>
          </cell>
        </row>
        <row r="20">
          <cell r="C20" t="str">
            <v>8205.70.0000</v>
          </cell>
        </row>
        <row r="21">
          <cell r="A21" t="str">
            <v>DBZCQJD1G2476AGANV0</v>
          </cell>
        </row>
        <row r="21">
          <cell r="C21" t="str">
            <v>8425.49.0000</v>
          </cell>
        </row>
        <row r="22">
          <cell r="A22" t="str">
            <v>MCYZH4T0DTYI2AENCV0</v>
          </cell>
        </row>
        <row r="22">
          <cell r="C22" t="str">
            <v>9401.20.0000</v>
          </cell>
        </row>
        <row r="23">
          <cell r="A23" t="str">
            <v>GCJSJJYYS500E2M1RV0</v>
          </cell>
        </row>
        <row r="23">
          <cell r="C23" t="str">
            <v>8427.90.0080</v>
          </cell>
        </row>
        <row r="24">
          <cell r="A24" t="str">
            <v>S35CUFT21INCHNVK3V0</v>
          </cell>
        </row>
        <row r="24">
          <cell r="C24" t="str">
            <v>8479.89.9790</v>
          </cell>
        </row>
        <row r="25">
          <cell r="A25" t="str">
            <v>GGSSDQTJ4J12VPHL6001V0</v>
          </cell>
        </row>
        <row r="25">
          <cell r="C25">
            <v>8210000000</v>
          </cell>
        </row>
        <row r="26">
          <cell r="A26" t="str">
            <v>AMYLCDPFSAJAH6RAK001V2</v>
          </cell>
        </row>
        <row r="26">
          <cell r="C26">
            <v>9019101000</v>
          </cell>
        </row>
        <row r="27">
          <cell r="A27" t="str">
            <v>DWYXBC60YCDW7VQVTV0</v>
          </cell>
        </row>
        <row r="27">
          <cell r="C27" t="str">
            <v>9506.99.9000</v>
          </cell>
        </row>
        <row r="28">
          <cell r="A28" t="str">
            <v>GGSSDQTJJB412RXV9V0</v>
          </cell>
        </row>
        <row r="28">
          <cell r="C28">
            <v>8210000000</v>
          </cell>
        </row>
        <row r="29">
          <cell r="A29" t="str">
            <v>SLKHWZDZ6YCH66OAD001V0</v>
          </cell>
        </row>
        <row r="29">
          <cell r="C29">
            <v>9403700000</v>
          </cell>
        </row>
        <row r="30">
          <cell r="A30" t="str">
            <v>DLSBZ16MMX61M0001V0</v>
          </cell>
        </row>
        <row r="30">
          <cell r="C30" t="str">
            <v>5607.50.3090</v>
          </cell>
        </row>
        <row r="31">
          <cell r="A31" t="str">
            <v>CDZT4B11004055001V0</v>
          </cell>
        </row>
        <row r="31">
          <cell r="C31" t="str">
            <v>8483.10.5090</v>
          </cell>
        </row>
        <row r="32">
          <cell r="A32" t="str">
            <v>ETYXBC3YCYXBM625VV0</v>
          </cell>
        </row>
        <row r="32">
          <cell r="C32" t="str">
            <v>9506.99.9000</v>
          </cell>
        </row>
        <row r="33">
          <cell r="A33" t="str">
            <v>LSZST20DCSHFJDPZYV0</v>
          </cell>
        </row>
        <row r="33">
          <cell r="C33" t="str">
            <v>9403.60.9000</v>
          </cell>
        </row>
        <row r="34">
          <cell r="A34" t="str">
            <v>YKLBZYXXCSDGZR4CHV0</v>
          </cell>
        </row>
        <row r="34">
          <cell r="C34" t="str">
            <v>9403.70.0000</v>
          </cell>
        </row>
        <row r="35">
          <cell r="A35" t="str">
            <v>YKLKFZTYXXCSDUW2OV0</v>
          </cell>
        </row>
        <row r="35">
          <cell r="C35" t="str">
            <v>9403.70.0000</v>
          </cell>
        </row>
        <row r="36">
          <cell r="A36" t="str">
            <v>YKLZBGZCZKJX09F9L001V0</v>
          </cell>
        </row>
        <row r="36">
          <cell r="C36" t="str">
            <v>9403.70.0000</v>
          </cell>
        </row>
        <row r="37">
          <cell r="A37" t="str">
            <v>YKLZXGZCZKJXPEUXB001V0</v>
          </cell>
        </row>
        <row r="37">
          <cell r="C37" t="str">
            <v>9403.70.0000</v>
          </cell>
        </row>
        <row r="38">
          <cell r="A38" t="str">
            <v>RZMGHSHS60PCJZU97001V0</v>
          </cell>
        </row>
        <row r="38">
          <cell r="C38" t="str">
            <v>6702.10.0000</v>
          </cell>
        </row>
        <row r="39">
          <cell r="A39" t="str">
            <v>RZMGHSBS60PC37DSG001V0</v>
          </cell>
        </row>
        <row r="39">
          <cell r="C39" t="str">
            <v>6702.10.0000</v>
          </cell>
        </row>
        <row r="40">
          <cell r="A40" t="str">
            <v>PHXLQ64CMKLWR0JDGV0</v>
          </cell>
        </row>
        <row r="40">
          <cell r="C40" t="str">
            <v>9506.91.1000</v>
          </cell>
        </row>
        <row r="41">
          <cell r="A41" t="str">
            <v>PHXLQ64CMBWFPSA6CV0</v>
          </cell>
        </row>
        <row r="41">
          <cell r="C41" t="str">
            <v>9506.91.1000</v>
          </cell>
        </row>
        <row r="42">
          <cell r="A42" t="str">
            <v>MNLXJ2ML0000T28X9001V2</v>
          </cell>
        </row>
        <row r="42">
          <cell r="C42" t="str">
            <v>8421.19.2000</v>
          </cell>
        </row>
        <row r="43">
          <cell r="A43" t="str">
            <v>DSLXJ15ML0001Y61V001V2</v>
          </cell>
        </row>
        <row r="43">
          <cell r="C43" t="str">
            <v>8421.19.2000</v>
          </cell>
        </row>
        <row r="44">
          <cell r="A44" t="str">
            <v>DSLXJ50ML000NL0Y3001V2</v>
          </cell>
        </row>
        <row r="44">
          <cell r="C44" t="str">
            <v>8421.19.2000</v>
          </cell>
        </row>
        <row r="45">
          <cell r="A45" t="str">
            <v>YXYCMYSBXGZDGEH55V0</v>
          </cell>
        </row>
        <row r="45">
          <cell r="C45" t="str">
            <v>7326.90.6000</v>
          </cell>
        </row>
        <row r="46">
          <cell r="A46" t="str">
            <v>BXGFXPDYDGYS8DSKIV0</v>
          </cell>
        </row>
        <row r="46">
          <cell r="C46" t="str">
            <v>7326.90.6000</v>
          </cell>
        </row>
        <row r="47">
          <cell r="A47" t="str">
            <v>BXGFXPDYDGYSTSRS6V0</v>
          </cell>
        </row>
        <row r="47">
          <cell r="C47" t="str">
            <v>7326.90.6000</v>
          </cell>
        </row>
        <row r="48">
          <cell r="A48" t="str">
            <v>KZJRJBZDBDZJO6DBLV2</v>
          </cell>
        </row>
        <row r="48">
          <cell r="C48" t="str">
            <v>8465.99.0000</v>
          </cell>
        </row>
        <row r="49">
          <cell r="A49" t="str">
            <v>KZJSK720T220VTAXZV2</v>
          </cell>
        </row>
        <row r="49">
          <cell r="C49" t="str">
            <v>8465.99.0000</v>
          </cell>
        </row>
        <row r="50">
          <cell r="A50" t="str">
            <v>KZJ-720SDJC000001V2</v>
          </cell>
        </row>
        <row r="50">
          <cell r="C50" t="str">
            <v>8465.99.0000</v>
          </cell>
        </row>
        <row r="51">
          <cell r="A51" t="str">
            <v>KZJRJBZDDZJOCBYHOV2</v>
          </cell>
        </row>
        <row r="51">
          <cell r="C51" t="str">
            <v>8465.99.0000</v>
          </cell>
        </row>
        <row r="52">
          <cell r="A52" t="str">
            <v>KZJ720CLPJJCK0001V2</v>
          </cell>
        </row>
        <row r="52">
          <cell r="C52" t="str">
            <v>8465.99.0000</v>
          </cell>
        </row>
        <row r="53">
          <cell r="A53" t="str">
            <v>KZJT375MM220VM24OV2</v>
          </cell>
        </row>
        <row r="53">
          <cell r="C53" t="str">
            <v>8465.99.0000</v>
          </cell>
        </row>
        <row r="54">
          <cell r="A54" t="str">
            <v>KZJOCSK720LSI6TEYV2</v>
          </cell>
        </row>
        <row r="54">
          <cell r="C54" t="str">
            <v>8465.99.0000</v>
          </cell>
        </row>
        <row r="55">
          <cell r="A55" t="str">
            <v>KZFLEXI1350MM8Z30V2</v>
          </cell>
        </row>
        <row r="55">
          <cell r="C55" t="str">
            <v>8465.99.0000</v>
          </cell>
        </row>
        <row r="56">
          <cell r="A56" t="str">
            <v>KZJHSOCSK870L7GRHV2</v>
          </cell>
        </row>
        <row r="56">
          <cell r="C56" t="str">
            <v>8465.99.0000</v>
          </cell>
        </row>
        <row r="57">
          <cell r="A57" t="str">
            <v>KZJ-870SDJC000001V2</v>
          </cell>
        </row>
        <row r="57">
          <cell r="C57" t="str">
            <v>8465.99.0000</v>
          </cell>
        </row>
        <row r="58">
          <cell r="A58" t="str">
            <v>FZL28YCT00002IAVOV0</v>
          </cell>
        </row>
        <row r="58">
          <cell r="C58" t="str">
            <v>8301.40.1900</v>
          </cell>
        </row>
        <row r="59">
          <cell r="A59" t="str">
            <v>FZL31YCBXG0013KC1V0</v>
          </cell>
        </row>
        <row r="59">
          <cell r="C59" t="str">
            <v>8301.40.1900</v>
          </cell>
        </row>
        <row r="60">
          <cell r="A60" t="str">
            <v>SKDKJ4040CM04TPDJV2</v>
          </cell>
        </row>
        <row r="60">
          <cell r="C60" t="str">
            <v>8465.95.0000</v>
          </cell>
        </row>
        <row r="61">
          <cell r="A61" t="str">
            <v>SKDKJ3020CMURZ4TWV2</v>
          </cell>
        </row>
        <row r="61">
          <cell r="C61" t="str">
            <v>8465.95.0000</v>
          </cell>
        </row>
        <row r="62">
          <cell r="A62" t="str">
            <v>FSSFLWLFDJ4078Z0GV9</v>
          </cell>
        </row>
        <row r="62">
          <cell r="C62" t="str">
            <v>8502.31.0097</v>
          </cell>
        </row>
        <row r="63">
          <cell r="A63" t="str">
            <v>FSSFLWLFDJ10WOV8NV9</v>
          </cell>
        </row>
        <row r="63">
          <cell r="C63" t="str">
            <v>8502.31.0097</v>
          </cell>
        </row>
        <row r="64">
          <cell r="A64" t="str">
            <v>FSSFLWLFDJ40F58LIV9</v>
          </cell>
        </row>
        <row r="64">
          <cell r="C64" t="str">
            <v>8502.31.0097</v>
          </cell>
        </row>
        <row r="65">
          <cell r="A65" t="str">
            <v>FSSFLWLFDJ40N69K2V9</v>
          </cell>
        </row>
        <row r="65">
          <cell r="C65" t="str">
            <v>8502.31.0097</v>
          </cell>
        </row>
        <row r="66">
          <cell r="A66" t="str">
            <v>BLGJTJ5JTWZG9M137001V0</v>
          </cell>
        </row>
        <row r="66">
          <cell r="C66" t="str">
            <v>8206.00.0000</v>
          </cell>
        </row>
        <row r="67">
          <cell r="A67" t="str">
            <v>BLGJTJ5JTFKGGFSK1001V0</v>
          </cell>
        </row>
        <row r="67">
          <cell r="C67" t="str">
            <v>8206.00.0000</v>
          </cell>
        </row>
        <row r="68">
          <cell r="A68" t="str">
            <v>KZDGLTEKJCK53PHLZ001V0</v>
          </cell>
        </row>
        <row r="68">
          <cell r="C68" t="str">
            <v>7616.99.9099</v>
          </cell>
        </row>
        <row r="69">
          <cell r="A69" t="str">
            <v>KZDGLTEKMZFHUGZNR001V0</v>
          </cell>
        </row>
        <row r="69">
          <cell r="C69" t="str">
            <v>7616.99.9099</v>
          </cell>
        </row>
        <row r="70">
          <cell r="A70" t="str">
            <v>KZDGLTEKMZFH1KNNA001V0</v>
          </cell>
        </row>
        <row r="70">
          <cell r="C70" t="str">
            <v>7616.99.9099</v>
          </cell>
        </row>
        <row r="71">
          <cell r="A71" t="str">
            <v>KZDGLTEKPVCF046CP001V0</v>
          </cell>
        </row>
        <row r="71">
          <cell r="C71" t="str">
            <v>7616.99.9099</v>
          </cell>
        </row>
        <row r="72">
          <cell r="A72" t="str">
            <v>SYBBDDWC60BARKSPIV0</v>
          </cell>
        </row>
        <row r="72">
          <cell r="C72">
            <v>8413190090</v>
          </cell>
        </row>
        <row r="73">
          <cell r="A73" t="str">
            <v>SYBBDDWC25BARPI7ZV0</v>
          </cell>
        </row>
        <row r="73">
          <cell r="C73">
            <v>8413190090</v>
          </cell>
        </row>
        <row r="74">
          <cell r="A74" t="str">
            <v>TLSCXQSQT1845AO8ZV0</v>
          </cell>
        </row>
        <row r="74">
          <cell r="C74" t="str">
            <v>8505.90.9090</v>
          </cell>
        </row>
        <row r="75">
          <cell r="A75" t="str">
            <v>XGSCXQSQ72105O9ABV0</v>
          </cell>
        </row>
        <row r="75">
          <cell r="C75" t="str">
            <v>8505.90.9090</v>
          </cell>
        </row>
        <row r="76">
          <cell r="A76" t="str">
            <v>XGSCXQSQX6093J83BV0</v>
          </cell>
        </row>
        <row r="76">
          <cell r="C76" t="str">
            <v>8505.90.9090</v>
          </cell>
        </row>
        <row r="77">
          <cell r="A77" t="str">
            <v>CXQSQTZ3632I3TYDJV0</v>
          </cell>
        </row>
        <row r="77">
          <cell r="C77" t="str">
            <v>8505.90.9090</v>
          </cell>
        </row>
        <row r="78">
          <cell r="A78" t="str">
            <v>DQXJSTCFS30X20X15V0</v>
          </cell>
        </row>
        <row r="78">
          <cell r="C78" t="str">
            <v>7326.90.9890</v>
          </cell>
        </row>
        <row r="79">
          <cell r="A79" t="str">
            <v>DQXJSTCFS25X20X15V0</v>
          </cell>
        </row>
        <row r="79">
          <cell r="C79" t="str">
            <v>7326.90.9890</v>
          </cell>
        </row>
        <row r="80">
          <cell r="A80" t="str">
            <v>DQXJSTCFS60X40X25V0</v>
          </cell>
        </row>
        <row r="80">
          <cell r="C80" t="str">
            <v>7326.90.9890</v>
          </cell>
        </row>
        <row r="81">
          <cell r="A81" t="str">
            <v>DQXJSTCFS50X30X25V0</v>
          </cell>
        </row>
        <row r="81">
          <cell r="C81" t="str">
            <v>7326.90.9890</v>
          </cell>
        </row>
        <row r="82">
          <cell r="A82" t="str">
            <v>DQXJSTCFS20X20X15V0</v>
          </cell>
        </row>
        <row r="82">
          <cell r="C82" t="str">
            <v>7326.90.9890</v>
          </cell>
        </row>
        <row r="83">
          <cell r="A83" t="str">
            <v>DQXJSTCFS40X30X20V0</v>
          </cell>
        </row>
        <row r="83">
          <cell r="C83" t="str">
            <v>7326.90.9890</v>
          </cell>
        </row>
        <row r="84">
          <cell r="A84" t="str">
            <v>DQXJSTCFS60X60X20V0</v>
          </cell>
        </row>
        <row r="84">
          <cell r="C84" t="str">
            <v>7326.90.9890</v>
          </cell>
        </row>
        <row r="85">
          <cell r="A85" t="str">
            <v>DQXJSTCFS40X40X20V0</v>
          </cell>
        </row>
        <row r="85">
          <cell r="C85" t="str">
            <v>7326.90.9890</v>
          </cell>
        </row>
        <row r="86">
          <cell r="A86" t="str">
            <v>JSHWZDSCWAQP9LQ8P001V0</v>
          </cell>
        </row>
        <row r="86">
          <cell r="C86" t="str">
            <v>7616.99.9099</v>
          </cell>
        </row>
        <row r="87">
          <cell r="A87" t="str">
            <v>JSHWZDSCWAQP47SCS001V0</v>
          </cell>
        </row>
        <row r="87">
          <cell r="C87" t="str">
            <v>7616.99.9099</v>
          </cell>
        </row>
        <row r="88">
          <cell r="A88" t="str">
            <v>JSHWZDSCWAQPJ4B65001V0</v>
          </cell>
        </row>
        <row r="88">
          <cell r="C88" t="str">
            <v>7616.99.9099</v>
          </cell>
        </row>
        <row r="89">
          <cell r="A89" t="str">
            <v>JSHWZDSCWAQPMQRB6001V0</v>
          </cell>
        </row>
        <row r="89">
          <cell r="C89" t="str">
            <v>7326.90.3000</v>
          </cell>
        </row>
        <row r="90">
          <cell r="A90" t="str">
            <v>CTSJTHSTMYK47UDDCV0</v>
          </cell>
        </row>
        <row r="90">
          <cell r="C90" t="str">
            <v>9403.70.0000</v>
          </cell>
        </row>
        <row r="91">
          <cell r="A91" t="str">
            <v>CTSJTYKLBST47YW3EV0</v>
          </cell>
        </row>
        <row r="91">
          <cell r="C91" t="str">
            <v>9403.70.0000</v>
          </cell>
        </row>
        <row r="92">
          <cell r="A92" t="str">
            <v>YBOCSPP150EHRWURGV2</v>
          </cell>
        </row>
        <row r="92">
          <cell r="C92" t="str">
            <v>8413.70.8190</v>
          </cell>
        </row>
        <row r="93">
          <cell r="A93" t="str">
            <v>YBOCHCP75045NTEHDV2</v>
          </cell>
        </row>
        <row r="93">
          <cell r="C93" t="str">
            <v>8413.70.8190</v>
          </cell>
        </row>
        <row r="94">
          <cell r="A94" t="str">
            <v>XCQSTYPMZJS2RK2I2001V2</v>
          </cell>
        </row>
        <row r="94">
          <cell r="C94" t="str">
            <v>9010.60.0000</v>
          </cell>
        </row>
        <row r="95">
          <cell r="A95" t="str">
            <v>XCQSTYPMZJS1BK1K0001V2</v>
          </cell>
        </row>
        <row r="95">
          <cell r="C95" t="str">
            <v>9010.60.0000</v>
          </cell>
        </row>
        <row r="96">
          <cell r="A96" t="str">
            <v>XCQSTYPMPJS2ZE5PH001V2</v>
          </cell>
        </row>
        <row r="96">
          <cell r="C96" t="str">
            <v>9010.60.0000</v>
          </cell>
        </row>
        <row r="97">
          <cell r="A97" t="str">
            <v>XCQSTYPMZJS1HUC89001V2</v>
          </cell>
        </row>
        <row r="97">
          <cell r="C97" t="str">
            <v>9010.60.0000</v>
          </cell>
        </row>
        <row r="98">
          <cell r="A98" t="str">
            <v>XCQSTYPMZJS1S3W90001V2</v>
          </cell>
        </row>
        <row r="98">
          <cell r="C98" t="str">
            <v>9010.60.0000</v>
          </cell>
        </row>
        <row r="99">
          <cell r="A99" t="str">
            <v>BXGDQX24X20XC3Z3EV0</v>
          </cell>
        </row>
        <row r="99">
          <cell r="C99" t="str">
            <v>7326.90.9890</v>
          </cell>
        </row>
        <row r="100">
          <cell r="A100" t="str">
            <v>BXGDQX16X12XBMZY8V0</v>
          </cell>
        </row>
        <row r="100">
          <cell r="C100" t="str">
            <v>7326.90.9890</v>
          </cell>
        </row>
        <row r="101">
          <cell r="A101" t="str">
            <v>BXGDQX20X16X4VPKIV0</v>
          </cell>
        </row>
        <row r="101">
          <cell r="C101" t="str">
            <v>7326.90.9890</v>
          </cell>
        </row>
        <row r="102">
          <cell r="A102" t="str">
            <v>BXGDQX16X12XVGLJZV0</v>
          </cell>
        </row>
        <row r="102">
          <cell r="C102" t="str">
            <v>7326.90.9890</v>
          </cell>
        </row>
        <row r="103">
          <cell r="A103" t="str">
            <v>ZXZCYTSCGBKZA2NPX001V0</v>
          </cell>
        </row>
        <row r="103">
          <cell r="C103" t="str">
            <v>9401.71.0000</v>
          </cell>
        </row>
        <row r="104">
          <cell r="A104" t="str">
            <v>ZXZCSGSBWXSQX8MP1001V0</v>
          </cell>
        </row>
        <row r="104">
          <cell r="C104" t="str">
            <v>9401.71.0000</v>
          </cell>
        </row>
        <row r="105">
          <cell r="A105" t="str">
            <v>CTSBXSGJX86IY6PZFV0</v>
          </cell>
        </row>
        <row r="105">
          <cell r="C105" t="str">
            <v>7326.90.9890</v>
          </cell>
        </row>
        <row r="106">
          <cell r="A106" t="str">
            <v>CTSBXSGJX86I4GRVMV0</v>
          </cell>
        </row>
        <row r="106">
          <cell r="C106" t="str">
            <v>7326.90.9890</v>
          </cell>
        </row>
        <row r="107">
          <cell r="A107" t="str">
            <v>TLJYZXCSDPB8M5E2E001V0</v>
          </cell>
        </row>
        <row r="107">
          <cell r="C107" t="str">
            <v>8708.99.9790</v>
          </cell>
        </row>
        <row r="108">
          <cell r="A108" t="str">
            <v>TLJYZXHSDPB8EYRZZ001V0</v>
          </cell>
        </row>
        <row r="108">
          <cell r="C108" t="str">
            <v>8708.99.9790</v>
          </cell>
        </row>
        <row r="109">
          <cell r="A109" t="str">
            <v>QXNGDHJ6L220VOP3ZV2</v>
          </cell>
        </row>
        <row r="109">
          <cell r="C109" t="str">
            <v>8479.89.9790</v>
          </cell>
        </row>
        <row r="110">
          <cell r="A110" t="str">
            <v>QXJ0.8LCSB0000001V2</v>
          </cell>
        </row>
        <row r="110">
          <cell r="C110" t="str">
            <v>8479.89.9790</v>
          </cell>
        </row>
        <row r="111">
          <cell r="A111" t="str">
            <v>KSSSJSJB915YBQ5HJV0</v>
          </cell>
        </row>
        <row r="111">
          <cell r="C111" t="str">
            <v>7610.90.9095</v>
          </cell>
        </row>
        <row r="112">
          <cell r="A112" t="str">
            <v>PSQJDCSSDS12CVWP6001V0</v>
          </cell>
        </row>
        <row r="112">
          <cell r="C112" t="str">
            <v>8425.42.0000</v>
          </cell>
        </row>
        <row r="113">
          <cell r="A113" t="str">
            <v>YCGLBDSDDY15VLJXMV2</v>
          </cell>
        </row>
        <row r="113">
          <cell r="C113" t="str">
            <v>8413.70.8190</v>
          </cell>
        </row>
        <row r="114">
          <cell r="A114" t="str">
            <v>WSTJJBKZDXSX9BVYIV0</v>
          </cell>
        </row>
        <row r="114">
          <cell r="C114" t="str">
            <v>9506.91.1000</v>
          </cell>
        </row>
        <row r="115">
          <cell r="A115" t="str">
            <v>KZDGLT4STEP16LGG3V0</v>
          </cell>
        </row>
        <row r="115">
          <cell r="C115" t="str">
            <v>7616.99.9099</v>
          </cell>
        </row>
        <row r="116">
          <cell r="A116" t="str">
            <v>BXSZDJSJZJ458V32EV0</v>
          </cell>
        </row>
        <row r="116">
          <cell r="C116" t="str">
            <v>7610.90.9095</v>
          </cell>
        </row>
        <row r="117">
          <cell r="A117" t="str">
            <v>CCZYCGKFSAQDCVTP9V0</v>
          </cell>
        </row>
        <row r="117">
          <cell r="C117" t="str">
            <v>9401.20.0000</v>
          </cell>
        </row>
        <row r="118">
          <cell r="A118" t="str">
            <v>YXZG29YXARTZDZ001V0</v>
          </cell>
        </row>
        <row r="118">
          <cell r="C118" t="str">
            <v>9504.90.1000</v>
          </cell>
        </row>
        <row r="119">
          <cell r="A119" t="str">
            <v>PVCJZCKDDPVCRWJ32001V0</v>
          </cell>
        </row>
        <row r="119">
          <cell r="C119" t="str">
            <v>3918.10.9090</v>
          </cell>
        </row>
        <row r="120">
          <cell r="A120" t="str">
            <v>G29G27G25ZLYXZJ01V0</v>
          </cell>
        </row>
        <row r="120">
          <cell r="C120" t="str">
            <v>9504.90.1000</v>
          </cell>
        </row>
        <row r="121">
          <cell r="A121" t="str">
            <v>KJTJSJSPF18OWVFQPV0</v>
          </cell>
        </row>
        <row r="121">
          <cell r="C121" t="str">
            <v>8207.50.9000</v>
          </cell>
        </row>
        <row r="122">
          <cell r="A122" t="str">
            <v>YYWGJ12T6G00MC6HJV0</v>
          </cell>
        </row>
        <row r="122">
          <cell r="C122" t="str">
            <v>8462.59.0000</v>
          </cell>
        </row>
        <row r="123">
          <cell r="A123" t="str">
            <v>FHXXXZXQ40INT7SVN001V9</v>
          </cell>
        </row>
        <row r="123">
          <cell r="C123" t="str">
            <v>8501.31.0099</v>
          </cell>
        </row>
        <row r="124">
          <cell r="A124" t="str">
            <v>MTCXXSJJCHS1IMC5C001V0</v>
          </cell>
        </row>
        <row r="124">
          <cell r="C124" t="str">
            <v>8427.90.0080</v>
          </cell>
        </row>
        <row r="125">
          <cell r="A125" t="str">
            <v>SCZNS6JDH00096TWIV0</v>
          </cell>
        </row>
        <row r="125">
          <cell r="C125" t="str">
            <v>9603.90.9900</v>
          </cell>
        </row>
        <row r="126">
          <cell r="A126" t="str">
            <v>LSWDDDPPHB154ZR2YV0</v>
          </cell>
        </row>
        <row r="126">
          <cell r="C126" t="str">
            <v>3918.90.0090</v>
          </cell>
        </row>
        <row r="127">
          <cell r="A127" t="str">
            <v>SLFSJ22KW30HQSQHT002V7</v>
          </cell>
        </row>
        <row r="127">
          <cell r="C127" t="str">
            <v>8477.80.9100</v>
          </cell>
        </row>
        <row r="128">
          <cell r="A128" t="str">
            <v>CCZYXGTJCZKC6WLLOV0</v>
          </cell>
        </row>
        <row r="128">
          <cell r="C128" t="str">
            <v>9401.99.2090</v>
          </cell>
        </row>
        <row r="129">
          <cell r="A129" t="str">
            <v>DQX304BXG12128001V0</v>
          </cell>
        </row>
        <row r="129">
          <cell r="C129" t="str">
            <v>7326.90.9890</v>
          </cell>
        </row>
        <row r="130">
          <cell r="A130" t="str">
            <v>KCGTTJHJ6010496T3V0</v>
          </cell>
        </row>
        <row r="130">
          <cell r="C130" t="str">
            <v>7616.99.9099</v>
          </cell>
        </row>
        <row r="131">
          <cell r="A131" t="str">
            <v>DJSNLBSCHS01J9R74V0</v>
          </cell>
        </row>
        <row r="131">
          <cell r="C131" t="str">
            <v>8204.20.0000</v>
          </cell>
        </row>
        <row r="132">
          <cell r="A132" t="str">
            <v>QCJJKC-30050HZ001V2</v>
          </cell>
        </row>
        <row r="132">
          <cell r="C132" t="str">
            <v>8438.60.0000</v>
          </cell>
        </row>
        <row r="133">
          <cell r="A133" t="str">
            <v>BXGHJ1BXG10PYKQQ0001V0</v>
          </cell>
        </row>
        <row r="133">
          <cell r="C133" t="str">
            <v>7222.40.9010</v>
          </cell>
        </row>
        <row r="134">
          <cell r="A134" t="str">
            <v>YSSCZBXZS20LKEKK2001V2</v>
          </cell>
        </row>
        <row r="134">
          <cell r="C134">
            <v>8418219190</v>
          </cell>
        </row>
        <row r="135">
          <cell r="A135" t="str">
            <v>YSSCZBXZS15LRMPGT001V2</v>
          </cell>
        </row>
        <row r="135">
          <cell r="C135">
            <v>8418219190</v>
          </cell>
        </row>
        <row r="136">
          <cell r="A136" t="str">
            <v>FJ24INCH2GZTLIK3X001V0</v>
          </cell>
        </row>
        <row r="136">
          <cell r="C136" t="str">
            <v>8205.70.0000</v>
          </cell>
        </row>
        <row r="137">
          <cell r="A137" t="str">
            <v>FJ36INCH2GZTY7VBV001V0</v>
          </cell>
        </row>
        <row r="137">
          <cell r="C137" t="str">
            <v>8205.70.0000</v>
          </cell>
        </row>
        <row r="138">
          <cell r="A138" t="str">
            <v>DBQJDTZ25TDGJUUBZ001V0</v>
          </cell>
        </row>
        <row r="138">
          <cell r="C138" t="str">
            <v>8425.42.0000</v>
          </cell>
        </row>
        <row r="139">
          <cell r="A139" t="str">
            <v>DBQJDTZ25TDGUXBVX001V0</v>
          </cell>
        </row>
        <row r="139">
          <cell r="C139" t="str">
            <v>8425.42.0000</v>
          </cell>
        </row>
        <row r="140">
          <cell r="A140" t="str">
            <v>ZJDBQJDTZ3TDSBWNO001V0</v>
          </cell>
        </row>
        <row r="140">
          <cell r="C140" t="str">
            <v>8425.42.0000</v>
          </cell>
        </row>
        <row r="141">
          <cell r="A141" t="str">
            <v>DBQJDTZ2TDGBU9ZCE001V0</v>
          </cell>
        </row>
        <row r="141">
          <cell r="C141" t="str">
            <v>8425.42.0000</v>
          </cell>
        </row>
        <row r="142">
          <cell r="A142" t="str">
            <v>DBQJDLT3TSGBVH6KL001V0</v>
          </cell>
        </row>
        <row r="142">
          <cell r="C142" t="str">
            <v>8425.42.0000</v>
          </cell>
        </row>
        <row r="143">
          <cell r="A143" t="str">
            <v>ZJDBQJDTZ3TSUYK36001V0</v>
          </cell>
        </row>
        <row r="143">
          <cell r="C143" t="str">
            <v>8425.42.0000</v>
          </cell>
        </row>
        <row r="144">
          <cell r="A144" t="str">
            <v>WSQJDTZ3TDGB5U7P7001V0</v>
          </cell>
        </row>
        <row r="144">
          <cell r="C144" t="str">
            <v>8425.42.0000</v>
          </cell>
        </row>
        <row r="145">
          <cell r="A145" t="str">
            <v>DBZCQJD1G180ANNFGV0</v>
          </cell>
        </row>
        <row r="145">
          <cell r="C145" t="str">
            <v>8425.49.0000</v>
          </cell>
        </row>
        <row r="146">
          <cell r="A146" t="str">
            <v>DBZCQJD1G1121DU27V0</v>
          </cell>
        </row>
        <row r="146">
          <cell r="C146" t="str">
            <v>8425.49.0000</v>
          </cell>
        </row>
        <row r="147">
          <cell r="A147" t="str">
            <v>DBZCQJD1216IHSWUOV0</v>
          </cell>
        </row>
        <row r="147">
          <cell r="C147" t="str">
            <v>8425.49.0000</v>
          </cell>
        </row>
        <row r="148">
          <cell r="A148" t="str">
            <v>DBZCQJD1G180QDA02V0</v>
          </cell>
        </row>
        <row r="148">
          <cell r="C148" t="str">
            <v>8425.49.0000</v>
          </cell>
        </row>
        <row r="149">
          <cell r="A149" t="str">
            <v>DBZCQJD1216IIFOIIV0</v>
          </cell>
        </row>
        <row r="149">
          <cell r="C149" t="str">
            <v>8425.49.0000</v>
          </cell>
        </row>
        <row r="150">
          <cell r="A150" t="str">
            <v>DBZCQJD1G180O7V19V0</v>
          </cell>
        </row>
        <row r="150">
          <cell r="C150" t="str">
            <v>8425.49.0000</v>
          </cell>
        </row>
        <row r="151">
          <cell r="A151" t="str">
            <v>SLKZDYDZY6FTUQW6VV0</v>
          </cell>
        </row>
        <row r="151">
          <cell r="C151" t="str">
            <v>9401.79.0000</v>
          </cell>
        </row>
        <row r="152">
          <cell r="A152" t="str">
            <v>SLKZDYDZY6FT8U3RLV0</v>
          </cell>
        </row>
        <row r="152">
          <cell r="C152" t="str">
            <v>9401.79.0000</v>
          </cell>
        </row>
        <row r="153">
          <cell r="A153" t="str">
            <v>FTSDG1215220VYQJDV2</v>
          </cell>
        </row>
        <row r="153">
          <cell r="C153" t="str">
            <v>8443.39.0000</v>
          </cell>
        </row>
        <row r="154">
          <cell r="A154" t="str">
            <v>FM1151DGNTHJ00001V2</v>
          </cell>
        </row>
        <row r="154">
          <cell r="C154" t="str">
            <v>8443.39.0000</v>
          </cell>
        </row>
        <row r="155">
          <cell r="A155" t="str">
            <v>DGNTHJSHY2938HSO1V2</v>
          </cell>
        </row>
        <row r="155">
          <cell r="C155" t="str">
            <v>8443.39.0000</v>
          </cell>
        </row>
        <row r="156">
          <cell r="A156" t="str">
            <v>SLKHWZDZ4YCBQ1OPT001V0</v>
          </cell>
        </row>
        <row r="156">
          <cell r="C156">
            <v>9403700000</v>
          </cell>
        </row>
        <row r="157">
          <cell r="A157" t="str">
            <v>SLKHWZDZ6YCH66OAD001V0</v>
          </cell>
        </row>
        <row r="157">
          <cell r="C157">
            <v>9403700000</v>
          </cell>
        </row>
        <row r="158">
          <cell r="A158" t="str">
            <v>SLKHWZDZ6YCBSC1VD001V0</v>
          </cell>
        </row>
        <row r="158">
          <cell r="C158">
            <v>9403700000</v>
          </cell>
        </row>
        <row r="159">
          <cell r="A159" t="str">
            <v>SLKHWZDZ8YCBBF4JY001V0</v>
          </cell>
        </row>
        <row r="159">
          <cell r="C159">
            <v>9403700000</v>
          </cell>
        </row>
        <row r="160">
          <cell r="A160" t="str">
            <v>YDHSJSYXWKBYJZQ2WV0</v>
          </cell>
        </row>
        <row r="160">
          <cell r="C160">
            <v>9401390000</v>
          </cell>
        </row>
        <row r="161">
          <cell r="A161" t="str">
            <v>YDBSNLYXWKBWSD2PUV0</v>
          </cell>
        </row>
        <row r="161">
          <cell r="C161">
            <v>9401390000</v>
          </cell>
        </row>
        <row r="162">
          <cell r="A162" t="str">
            <v>YDHSJSYX450LG193DV0</v>
          </cell>
        </row>
        <row r="162">
          <cell r="C162">
            <v>9401390000</v>
          </cell>
        </row>
        <row r="163">
          <cell r="A163" t="str">
            <v>YDHSJSYXYKBWDYI0TV0</v>
          </cell>
        </row>
        <row r="163">
          <cell r="C163">
            <v>9401390000</v>
          </cell>
        </row>
        <row r="164">
          <cell r="A164" t="str">
            <v>HNTJDP125MM04WUIT001V0</v>
          </cell>
        </row>
        <row r="164">
          <cell r="C164">
            <v>8202310000</v>
          </cell>
        </row>
        <row r="165">
          <cell r="A165" t="str">
            <v>HNTJDP133MM09U79K001V0</v>
          </cell>
        </row>
        <row r="165">
          <cell r="C165">
            <v>8202310000</v>
          </cell>
        </row>
        <row r="166">
          <cell r="A166" t="str">
            <v>HNTJDP9INCH0QCDI0001V0</v>
          </cell>
        </row>
        <row r="166">
          <cell r="C166">
            <v>8202310000</v>
          </cell>
        </row>
        <row r="167">
          <cell r="A167" t="str">
            <v>HNTJDP160MM0CNCGN001V0</v>
          </cell>
        </row>
        <row r="167">
          <cell r="C167">
            <v>8202310000</v>
          </cell>
        </row>
        <row r="168">
          <cell r="A168" t="str">
            <v>HNTJDP12INCHAVLQ7001V0</v>
          </cell>
        </row>
        <row r="168">
          <cell r="C168">
            <v>8202310000</v>
          </cell>
        </row>
        <row r="169">
          <cell r="A169" t="str">
            <v>HNTJDP16INCHEN81Z001V0</v>
          </cell>
        </row>
        <row r="169">
          <cell r="C169">
            <v>8202310000</v>
          </cell>
        </row>
        <row r="170">
          <cell r="A170" t="str">
            <v>HNTJDP14INCHX7RQH001V0</v>
          </cell>
        </row>
        <row r="170">
          <cell r="C170">
            <v>8202310000</v>
          </cell>
        </row>
        <row r="171">
          <cell r="A171" t="str">
            <v>JZQJDWQBKXZ2XSCS5V0</v>
          </cell>
        </row>
        <row r="171">
          <cell r="C171" t="str">
            <v>8425.42.0000</v>
          </cell>
        </row>
        <row r="172">
          <cell r="A172" t="str">
            <v>JZQJDWQBKXZ5B0XAJV0</v>
          </cell>
        </row>
        <row r="172">
          <cell r="C172" t="str">
            <v>8425.42.0000</v>
          </cell>
        </row>
        <row r="173">
          <cell r="A173" t="str">
            <v>JZQJDWQBKXZ1ZCJXYV0</v>
          </cell>
        </row>
        <row r="173">
          <cell r="C173" t="str">
            <v>8425.42.0000</v>
          </cell>
        </row>
        <row r="174">
          <cell r="A174" t="str">
            <v>ZLSJ5GALZLQ000001V0</v>
          </cell>
        </row>
        <row r="174">
          <cell r="C174" t="str">
            <v>8419.40.0090</v>
          </cell>
        </row>
        <row r="175">
          <cell r="A175" t="str">
            <v>SNLZSLZYGL5FTPDUBV0</v>
          </cell>
        </row>
        <row r="175">
          <cell r="C175" t="str">
            <v>7610.90.9092</v>
          </cell>
        </row>
        <row r="176">
          <cell r="A176" t="str">
            <v>GLBXXCZBXSL5Q0LQ9001V2</v>
          </cell>
        </row>
        <row r="176">
          <cell r="C176" t="str">
            <v>8418.21.9110</v>
          </cell>
        </row>
        <row r="177">
          <cell r="A177" t="str">
            <v>100PCSQBHLYYT0001V0</v>
          </cell>
        </row>
        <row r="177">
          <cell r="C177" t="str">
            <v>6304.91.0000</v>
          </cell>
        </row>
        <row r="178">
          <cell r="A178" t="str">
            <v>ZYTCYCHS12GS072R7V0</v>
          </cell>
        </row>
        <row r="178">
          <cell r="C178" t="str">
            <v>8716.80.0000</v>
          </cell>
        </row>
        <row r="179">
          <cell r="A179" t="str">
            <v>KZDSLCWXHS45CNF3XV0</v>
          </cell>
        </row>
        <row r="179">
          <cell r="C179" t="str">
            <v>3926.90.9790</v>
          </cell>
        </row>
        <row r="180">
          <cell r="A180" t="str">
            <v>RQLLJDGNG33CCW9O7V0</v>
          </cell>
        </row>
        <row r="180">
          <cell r="C180" t="str">
            <v>8467.89.0000</v>
          </cell>
        </row>
        <row r="181">
          <cell r="A181" t="str">
            <v>SDSJXKKMJLS4MLGQ4001V2</v>
          </cell>
        </row>
        <row r="181">
          <cell r="C181" t="str">
            <v>8443.39.0000</v>
          </cell>
        </row>
        <row r="182">
          <cell r="A182" t="str">
            <v>WSQJDLT2TSGBXE4W6V0</v>
          </cell>
        </row>
        <row r="182">
          <cell r="C182" t="str">
            <v>8425.42.0000</v>
          </cell>
        </row>
        <row r="183">
          <cell r="A183" t="str">
            <v>SBJJGKYS220B670I5001V2</v>
          </cell>
        </row>
        <row r="183">
          <cell r="C183" t="str">
            <v>8438.80.9900</v>
          </cell>
        </row>
        <row r="184">
          <cell r="A184" t="str">
            <v>JSJS342MJDDMF1LS3002V0</v>
          </cell>
        </row>
        <row r="184">
          <cell r="C184" t="str">
            <v>9406.90.3800</v>
          </cell>
        </row>
        <row r="185">
          <cell r="A185" t="str">
            <v>JSJS382MJDDMBL240002V0</v>
          </cell>
        </row>
        <row r="185">
          <cell r="C185" t="str">
            <v>9406.90.3800</v>
          </cell>
        </row>
        <row r="186">
          <cell r="A186" t="str">
            <v>DWYYQJD1000LTU88H001V0</v>
          </cell>
        </row>
        <row r="186">
          <cell r="C186" t="str">
            <v>8425.42.0000</v>
          </cell>
        </row>
        <row r="187">
          <cell r="A187" t="str">
            <v>MADHSNLMADWKR2KEMV0</v>
          </cell>
        </row>
        <row r="187">
          <cell r="C187">
            <v>9401390000</v>
          </cell>
        </row>
        <row r="188">
          <cell r="A188" t="str">
            <v>BXGYCFSDDB302DUEF001V0</v>
          </cell>
        </row>
        <row r="188">
          <cell r="C188" t="str">
            <v>7308.90.9890</v>
          </cell>
        </row>
        <row r="189">
          <cell r="A189" t="str">
            <v>KSLQJ54CXGKDUSO0T001V0</v>
          </cell>
        </row>
        <row r="189">
          <cell r="C189" t="str">
            <v>9506.91.9000</v>
          </cell>
        </row>
        <row r="190">
          <cell r="A190" t="str">
            <v>PSJ60JLW0000PHICYV2</v>
          </cell>
        </row>
        <row r="190">
          <cell r="C190" t="str">
            <v>8424.30.1000</v>
          </cell>
        </row>
        <row r="191">
          <cell r="A191" t="str">
            <v>LMTQQ29JT000UIA3TV0</v>
          </cell>
        </row>
        <row r="191">
          <cell r="C191" t="str">
            <v>8207.90.9100</v>
          </cell>
        </row>
        <row r="192">
          <cell r="A192" t="str">
            <v>BGSLQJ44CLMSZ7APW001V0</v>
          </cell>
        </row>
        <row r="192">
          <cell r="C192" t="str">
            <v>9506.91.9000</v>
          </cell>
        </row>
        <row r="193">
          <cell r="A193" t="str">
            <v>PQFJYNF-250-2T001V7</v>
          </cell>
        </row>
        <row r="193">
          <cell r="C193" t="str">
            <v>8414.51.0090</v>
          </cell>
        </row>
        <row r="194">
          <cell r="A194" t="str">
            <v>PQFJYNF-300-2T001V7</v>
          </cell>
        </row>
        <row r="194">
          <cell r="C194" t="str">
            <v>8414.51.0090</v>
          </cell>
        </row>
        <row r="195">
          <cell r="A195" t="str">
            <v>LXZZT1G120MMNILLZ001V0</v>
          </cell>
        </row>
        <row r="195">
          <cell r="C195" t="str">
            <v>8207.50.9000</v>
          </cell>
        </row>
        <row r="196">
          <cell r="A196" t="str">
            <v>LXZZT1G80MM6E08ZC001V0</v>
          </cell>
        </row>
        <row r="196">
          <cell r="C196" t="str">
            <v>8207.50.9000</v>
          </cell>
        </row>
        <row r="197">
          <cell r="A197" t="str">
            <v>ZPSLTZS6X6FTW9616V0</v>
          </cell>
        </row>
        <row r="197">
          <cell r="C197" t="str">
            <v>6306.22.0000</v>
          </cell>
        </row>
        <row r="198">
          <cell r="A198" t="str">
            <v>ZPSLTZS125X1X8KS1V0</v>
          </cell>
        </row>
        <row r="198">
          <cell r="C198" t="str">
            <v>6306.22.0000</v>
          </cell>
        </row>
        <row r="199">
          <cell r="A199" t="str">
            <v>SRQYLCSHLQYTWMIWW001V0</v>
          </cell>
        </row>
        <row r="199">
          <cell r="C199" t="str">
            <v>9031.80.8000</v>
          </cell>
        </row>
        <row r="200">
          <cell r="A200" t="str">
            <v>SRQLQYTCTJFTCVLUF002V0</v>
          </cell>
        </row>
        <row r="200">
          <cell r="C200" t="str">
            <v>9031.80.8000</v>
          </cell>
        </row>
        <row r="201">
          <cell r="A201" t="str">
            <v>SRQYLCSHLQYTCRQMI001V0</v>
          </cell>
        </row>
        <row r="201">
          <cell r="C201" t="str">
            <v>9031.80.8000</v>
          </cell>
        </row>
        <row r="202">
          <cell r="A202" t="str">
            <v>SRQYLCSHLQYT566O4001V0</v>
          </cell>
        </row>
        <row r="202">
          <cell r="C202" t="str">
            <v>9031.80.8000</v>
          </cell>
        </row>
        <row r="203">
          <cell r="A203" t="str">
            <v>DDYYQJDTJHSPT7GXRV9</v>
          </cell>
        </row>
        <row r="203">
          <cell r="C203" t="str">
            <v>8425.42.0000</v>
          </cell>
        </row>
        <row r="204">
          <cell r="A204" t="str">
            <v>DDYYQJDTJWW1WAAB7V9</v>
          </cell>
        </row>
        <row r="204">
          <cell r="C204" t="str">
            <v>8425.42.0000</v>
          </cell>
        </row>
        <row r="205">
          <cell r="A205" t="str">
            <v>DDYYQJDTJDWC5G95XV9</v>
          </cell>
        </row>
        <row r="205">
          <cell r="C205" t="str">
            <v>8425.42.0000</v>
          </cell>
        </row>
        <row r="206">
          <cell r="A206" t="str">
            <v>QBLZDZTG4J20Y2BH6001V0</v>
          </cell>
        </row>
        <row r="206">
          <cell r="C206" t="str">
            <v>7326.90.9890</v>
          </cell>
        </row>
        <row r="207">
          <cell r="A207" t="str">
            <v>QBLZDZTG8J20KQCNP001V0</v>
          </cell>
        </row>
        <row r="207">
          <cell r="C207" t="str">
            <v>7326.90.9890</v>
          </cell>
        </row>
        <row r="208">
          <cell r="A208" t="str">
            <v>QBLZDZTG4J20OWF6J001V0</v>
          </cell>
        </row>
        <row r="208">
          <cell r="C208" t="str">
            <v>7326.90.9890</v>
          </cell>
        </row>
        <row r="209">
          <cell r="A209" t="str">
            <v>LTFS1.4MLZFS00001V0</v>
          </cell>
        </row>
        <row r="209">
          <cell r="C209" t="str">
            <v>7308.90.9890</v>
          </cell>
        </row>
        <row r="210">
          <cell r="A210" t="str">
            <v>BXGDLZFS80CM27A3MV0</v>
          </cell>
        </row>
        <row r="210">
          <cell r="C210" t="str">
            <v>7308.90.9890</v>
          </cell>
        </row>
        <row r="211">
          <cell r="A211" t="str">
            <v>BXGDLZFS120CR5F2IV0</v>
          </cell>
        </row>
        <row r="211">
          <cell r="C211" t="str">
            <v>7308.90.9890</v>
          </cell>
        </row>
        <row r="212">
          <cell r="A212" t="str">
            <v>ZZSQJDUXJ8TDNP9EDV0</v>
          </cell>
        </row>
        <row r="212">
          <cell r="C212" t="str">
            <v>8425.42.0000</v>
          </cell>
        </row>
        <row r="213">
          <cell r="A213" t="str">
            <v>ZZSQJDUXJ3TD8ZNEGV0</v>
          </cell>
        </row>
        <row r="213">
          <cell r="C213" t="str">
            <v>8425.42.0000</v>
          </cell>
        </row>
        <row r="214">
          <cell r="A214" t="str">
            <v>ZZSQJDPD4TDZ0UNW3V0</v>
          </cell>
        </row>
        <row r="214">
          <cell r="C214" t="str">
            <v>8425.42.0000</v>
          </cell>
        </row>
        <row r="215">
          <cell r="A215" t="str">
            <v>BXGYCFSDDB30FQ827V0</v>
          </cell>
        </row>
        <row r="215">
          <cell r="C215" t="str">
            <v>7308.90.9890</v>
          </cell>
        </row>
        <row r="216">
          <cell r="A216" t="str">
            <v>BXGYCFSDDB55R33SQV0</v>
          </cell>
        </row>
        <row r="216">
          <cell r="C216" t="str">
            <v>7308.90.9890</v>
          </cell>
        </row>
        <row r="217">
          <cell r="A217" t="str">
            <v>BXGYCFSYM543YO17Y001V0</v>
          </cell>
        </row>
        <row r="217">
          <cell r="C217" t="str">
            <v>7308.90.9890</v>
          </cell>
        </row>
        <row r="218">
          <cell r="A218" t="str">
            <v>SCXLSXTLXROF566W0V0</v>
          </cell>
        </row>
        <row r="218">
          <cell r="C218" t="str">
            <v>8421.99.1000</v>
          </cell>
        </row>
        <row r="219">
          <cell r="A219" t="str">
            <v>SCXLSXTLXROFO4WHOV0</v>
          </cell>
        </row>
        <row r="219">
          <cell r="C219" t="str">
            <v>8421.99.1000</v>
          </cell>
        </row>
        <row r="220">
          <cell r="A220" t="str">
            <v>SCXLSXTLXWCFS0CEQV0</v>
          </cell>
        </row>
        <row r="220">
          <cell r="C220" t="str">
            <v>8421.99.1000</v>
          </cell>
        </row>
        <row r="221">
          <cell r="A221" t="str">
            <v>TYGDK4JHJGDF71WHO001V0</v>
          </cell>
        </row>
        <row r="221">
          <cell r="C221" t="str">
            <v>7326.90.3000</v>
          </cell>
        </row>
        <row r="222">
          <cell r="A222" t="str">
            <v>TYGDK3JHJGDF60802001V0</v>
          </cell>
        </row>
        <row r="222">
          <cell r="C222" t="str">
            <v>7326.90.3000</v>
          </cell>
        </row>
        <row r="223">
          <cell r="A223" t="str">
            <v>TYGDK2JHJGDF1O8L8001V0</v>
          </cell>
        </row>
        <row r="223">
          <cell r="C223" t="str">
            <v>7326.90.3000</v>
          </cell>
        </row>
        <row r="224">
          <cell r="A224" t="str">
            <v>TYGDK2JHJGSFRUUZ3001V0</v>
          </cell>
        </row>
        <row r="224">
          <cell r="C224" t="str">
            <v>7326.90.3000</v>
          </cell>
        </row>
        <row r="225">
          <cell r="A225" t="str">
            <v>BXGSLZFS180C0LCPKV0</v>
          </cell>
        </row>
        <row r="225">
          <cell r="C225" t="str">
            <v>7308.90.9890</v>
          </cell>
        </row>
        <row r="226">
          <cell r="A226" t="str">
            <v>BXGSLZFS120CCRS3EV0</v>
          </cell>
        </row>
        <row r="226">
          <cell r="C226" t="str">
            <v>7308.90.9890</v>
          </cell>
        </row>
        <row r="227">
          <cell r="A227" t="str">
            <v>BXGSLZFS150CQRI7OV0</v>
          </cell>
        </row>
        <row r="227">
          <cell r="C227" t="str">
            <v>7308.90.9890</v>
          </cell>
        </row>
        <row r="228">
          <cell r="A228" t="str">
            <v>BXGSLZFS150CBU3NGV0</v>
          </cell>
        </row>
        <row r="228">
          <cell r="C228" t="str">
            <v>7308.90.9890</v>
          </cell>
        </row>
        <row r="229">
          <cell r="A229" t="str">
            <v>TZZTYCZ28X188OFG9V0</v>
          </cell>
        </row>
        <row r="229">
          <cell r="C229">
            <v>9403991090</v>
          </cell>
        </row>
        <row r="230">
          <cell r="A230" t="str">
            <v>ZT720X760MM000001V0</v>
          </cell>
        </row>
        <row r="230">
          <cell r="C230">
            <v>9403991090</v>
          </cell>
        </row>
        <row r="231">
          <cell r="A231" t="str">
            <v>TZZT4PCS20YC3G001V0</v>
          </cell>
        </row>
        <row r="231">
          <cell r="C231">
            <v>9403991090</v>
          </cell>
        </row>
        <row r="232">
          <cell r="A232" t="str">
            <v>TZZT4PCS26YC3G001V0</v>
          </cell>
        </row>
        <row r="232">
          <cell r="C232">
            <v>9403991090</v>
          </cell>
        </row>
        <row r="233">
          <cell r="A233" t="str">
            <v>TZZT4PCS16YC3G001V0</v>
          </cell>
        </row>
        <row r="233">
          <cell r="C233">
            <v>9403991090</v>
          </cell>
        </row>
        <row r="234">
          <cell r="A234" t="str">
            <v>TZTXFGZTHSGT4FXJ0V0</v>
          </cell>
        </row>
        <row r="234">
          <cell r="C234">
            <v>9403991090</v>
          </cell>
        </row>
        <row r="235">
          <cell r="A235" t="str">
            <v>SBZDSLH4ZF00F7UV2V2</v>
          </cell>
        </row>
        <row r="235">
          <cell r="C235">
            <v>8479899790</v>
          </cell>
        </row>
        <row r="236">
          <cell r="A236" t="str">
            <v>SBZDSLH2Z0001PWIXV2</v>
          </cell>
        </row>
        <row r="236">
          <cell r="C236">
            <v>8479899790</v>
          </cell>
        </row>
        <row r="237">
          <cell r="A237" t="str">
            <v>SBZDSLH6Z0009EZVIV2</v>
          </cell>
        </row>
        <row r="237">
          <cell r="C237">
            <v>8479899790</v>
          </cell>
        </row>
        <row r="238">
          <cell r="A238" t="str">
            <v>HCJPSJYX14INPYLCJV0</v>
          </cell>
        </row>
        <row r="238">
          <cell r="C238" t="str">
            <v>5609.00.0000</v>
          </cell>
        </row>
        <row r="239">
          <cell r="A239" t="str">
            <v>HCJPSJYX38IN93VS7V0</v>
          </cell>
        </row>
        <row r="239">
          <cell r="C239" t="str">
            <v>5609.00.0000</v>
          </cell>
        </row>
        <row r="240">
          <cell r="A240" t="str">
            <v>HCJPSJYX12IN5PYEKV0</v>
          </cell>
        </row>
        <row r="240">
          <cell r="C240" t="str">
            <v>5609.00.0000</v>
          </cell>
        </row>
        <row r="241">
          <cell r="A241" t="str">
            <v>HCJPSJYX38INE838IV0</v>
          </cell>
        </row>
        <row r="241">
          <cell r="C241" t="str">
            <v>5609.00.0000</v>
          </cell>
        </row>
        <row r="242">
          <cell r="A242" t="str">
            <v>GSJPSTG38INCDWGMDV0</v>
          </cell>
        </row>
        <row r="242">
          <cell r="C242" t="str">
            <v>7312.10.6599</v>
          </cell>
        </row>
        <row r="243">
          <cell r="A243" t="str">
            <v>GSJPSTG38INCL0G96V0</v>
          </cell>
        </row>
        <row r="243">
          <cell r="C243" t="str">
            <v>7312.10.6599</v>
          </cell>
        </row>
        <row r="244">
          <cell r="A244" t="str">
            <v>GSJPSTG38INCY8ESQV0</v>
          </cell>
        </row>
        <row r="244">
          <cell r="C244" t="str">
            <v>7312.10.6599</v>
          </cell>
        </row>
        <row r="245">
          <cell r="A245" t="str">
            <v>DCK822X28MML05J02V0</v>
          </cell>
        </row>
        <row r="245">
          <cell r="C245" t="str">
            <v>9506.91.1000</v>
          </cell>
        </row>
        <row r="246">
          <cell r="A246" t="str">
            <v>QJT16GAL1TPQP08O1001V0</v>
          </cell>
        </row>
        <row r="246">
          <cell r="C246">
            <v>7310299090</v>
          </cell>
        </row>
        <row r="247">
          <cell r="A247" t="str">
            <v>LJJDZ2X424PCSQZK4V0</v>
          </cell>
        </row>
        <row r="247">
          <cell r="C247" t="str">
            <v>7326.90.9890</v>
          </cell>
        </row>
        <row r="248">
          <cell r="A248" t="str">
            <v>JYLQQCXGJJT308IOLV0</v>
          </cell>
        </row>
        <row r="248">
          <cell r="C248" t="str">
            <v>7326.90.9890</v>
          </cell>
        </row>
        <row r="249">
          <cell r="A249" t="str">
            <v>LGDJTJ1000WHAQTLUV9</v>
          </cell>
        </row>
        <row r="249">
          <cell r="C249">
            <v>8501320099</v>
          </cell>
        </row>
        <row r="250">
          <cell r="A250" t="str">
            <v>DDYYQJDTJDDD5W1H1V9</v>
          </cell>
        </row>
        <row r="250">
          <cell r="C250" t="str">
            <v>8425.42.0000</v>
          </cell>
        </row>
        <row r="251">
          <cell r="A251" t="str">
            <v>DDJSQJDTJDWC3D2K7V9</v>
          </cell>
        </row>
        <row r="251">
          <cell r="C251" t="str">
            <v>8425.49.0000</v>
          </cell>
        </row>
        <row r="252">
          <cell r="A252" t="str">
            <v>LDSGYPF7266I63D57V0</v>
          </cell>
        </row>
        <row r="252">
          <cell r="C252" t="str">
            <v>9403.89.0090</v>
          </cell>
        </row>
        <row r="253">
          <cell r="A253" t="str">
            <v>SGWSQJDTZS25TVDHJV0</v>
          </cell>
        </row>
        <row r="253">
          <cell r="C253" t="str">
            <v>8425.42.0000</v>
          </cell>
        </row>
        <row r="254">
          <cell r="A254" t="str">
            <v>WSQJDTZ2TDGBZ7IM2V0</v>
          </cell>
        </row>
        <row r="254">
          <cell r="C254" t="str">
            <v>8425.42.0000</v>
          </cell>
        </row>
        <row r="255">
          <cell r="A255" t="str">
            <v>CXSBSHS29IN2PB8MPV0</v>
          </cell>
        </row>
        <row r="255">
          <cell r="C255" t="str">
            <v>8425.42.0000</v>
          </cell>
        </row>
        <row r="256">
          <cell r="A256" t="str">
            <v>CWHGJSTS3640MLI0VV2</v>
          </cell>
        </row>
        <row r="256">
          <cell r="C256" t="str">
            <v>8425.42.0000</v>
          </cell>
        </row>
        <row r="257">
          <cell r="A257" t="str">
            <v>HCCLSDL38INCTRAUAV0</v>
          </cell>
        </row>
        <row r="257">
          <cell r="C257">
            <v>5607501190</v>
          </cell>
        </row>
        <row r="258">
          <cell r="A258" t="str">
            <v>QBLZDZTG4J44INMMHV0</v>
          </cell>
        </row>
        <row r="258">
          <cell r="C258" t="str">
            <v>7326.90.9890</v>
          </cell>
        </row>
        <row r="259">
          <cell r="A259" t="str">
            <v>SZNL1IN30FT0DLHPJV0</v>
          </cell>
        </row>
        <row r="259">
          <cell r="C259" t="str">
            <v>5609.00.0000</v>
          </cell>
        </row>
        <row r="260">
          <cell r="A260" t="str">
            <v>BBLZDZTG1PCS9BMQZ001V0</v>
          </cell>
        </row>
        <row r="260">
          <cell r="C260" t="str">
            <v>7326.90.9890</v>
          </cell>
        </row>
        <row r="261">
          <cell r="A261" t="str">
            <v>BXGLTFS5BDLZ00001V0</v>
          </cell>
        </row>
        <row r="261">
          <cell r="C261" t="str">
            <v>7308.90.9890</v>
          </cell>
        </row>
        <row r="262">
          <cell r="A262" t="str">
            <v>SBZDSLH4Z000JJWPBV2</v>
          </cell>
        </row>
        <row r="262">
          <cell r="C262">
            <v>8479899790</v>
          </cell>
        </row>
        <row r="263">
          <cell r="A263" t="str">
            <v>DCK5X28MMLCBLHMSZV0</v>
          </cell>
        </row>
        <row r="263">
          <cell r="C263" t="str">
            <v>9506.91.1000</v>
          </cell>
        </row>
        <row r="264">
          <cell r="A264" t="str">
            <v>DCK5X28MQZSC268B2V0</v>
          </cell>
        </row>
        <row r="264">
          <cell r="C264" t="str">
            <v>9506.91.1000</v>
          </cell>
        </row>
        <row r="265">
          <cell r="A265" t="str">
            <v>LXZZT1G60MM8HAAJJ001V0</v>
          </cell>
        </row>
        <row r="265">
          <cell r="C265" t="str">
            <v>8207.50.9000</v>
          </cell>
        </row>
        <row r="266">
          <cell r="A266" t="str">
            <v>LXZZT1G100MMPRI72001V0</v>
          </cell>
        </row>
        <row r="266">
          <cell r="C266" t="str">
            <v>8207.50.9000</v>
          </cell>
        </row>
        <row r="267">
          <cell r="A267" t="str">
            <v>LXZZT1G200MMK2BYL001V0</v>
          </cell>
        </row>
        <row r="267">
          <cell r="C267" t="str">
            <v>8207.50.9000</v>
          </cell>
        </row>
        <row r="268">
          <cell r="A268" t="str">
            <v>FCMZ32INCBH12MM01V0</v>
          </cell>
        </row>
        <row r="268">
          <cell r="C268" t="str">
            <v>8431.49.8090</v>
          </cell>
        </row>
        <row r="269">
          <cell r="A269" t="str">
            <v>FCMZ18INDYYYG12MMV0</v>
          </cell>
        </row>
        <row r="269">
          <cell r="C269" t="str">
            <v>8431.49.8090</v>
          </cell>
        </row>
        <row r="270">
          <cell r="A270" t="str">
            <v>FCMZ18INCBH12MM01V0</v>
          </cell>
        </row>
        <row r="270">
          <cell r="C270" t="str">
            <v>8431.49.8090</v>
          </cell>
        </row>
        <row r="271">
          <cell r="A271" t="str">
            <v>DCJH1UVMGIRDDFUJ5V2</v>
          </cell>
        </row>
        <row r="271">
          <cell r="C271" t="str">
            <v>8472.90.8000</v>
          </cell>
        </row>
        <row r="272">
          <cell r="A272" t="str">
            <v>DCJD1UVMGIRDDG7WNV2</v>
          </cell>
        </row>
        <row r="272">
          <cell r="C272" t="str">
            <v>8472.90.8000</v>
          </cell>
        </row>
        <row r="273">
          <cell r="A273" t="str">
            <v>DGWSQJDTDG25TNS38V0</v>
          </cell>
        </row>
        <row r="273">
          <cell r="C273" t="str">
            <v>8425.42.0000</v>
          </cell>
        </row>
        <row r="274">
          <cell r="A274" t="str">
            <v>SGWSQJDLTSG3T41DVV0</v>
          </cell>
        </row>
        <row r="274">
          <cell r="C274" t="str">
            <v>8425.42.0000</v>
          </cell>
        </row>
        <row r="275">
          <cell r="A275" t="str">
            <v>YYCSTJ1YLB0OQCAAU001V0</v>
          </cell>
        </row>
        <row r="275">
          <cell r="C275" t="str">
            <v>9026.20.4000</v>
          </cell>
        </row>
        <row r="276">
          <cell r="A276" t="str">
            <v>YYCSTJ3YLB6O1OXAE001V0</v>
          </cell>
        </row>
        <row r="276">
          <cell r="C276" t="str">
            <v>9026.20.4000</v>
          </cell>
        </row>
        <row r="277">
          <cell r="A277" t="str">
            <v>JXYBZ3T6G0006OE70V0</v>
          </cell>
        </row>
        <row r="277">
          <cell r="C277" t="str">
            <v>9026.20.4000</v>
          </cell>
        </row>
        <row r="278">
          <cell r="A278" t="str">
            <v>JXYBZ3T9G000XHZ9IV0</v>
          </cell>
        </row>
        <row r="278">
          <cell r="C278" t="str">
            <v>9026.20.4000</v>
          </cell>
        </row>
        <row r="279">
          <cell r="A279" t="str">
            <v>HCCLSDL12INCMEGKYV0</v>
          </cell>
        </row>
        <row r="279">
          <cell r="C279">
            <v>5607501190</v>
          </cell>
        </row>
        <row r="280">
          <cell r="A280" t="str">
            <v>HCCLSNL316INDUEVBV0</v>
          </cell>
        </row>
        <row r="280">
          <cell r="C280">
            <v>5607501190</v>
          </cell>
        </row>
        <row r="281">
          <cell r="A281" t="str">
            <v>DLZZ6FT6PCSHT5RXH001V0</v>
          </cell>
        </row>
        <row r="281">
          <cell r="C281" t="str">
            <v>6304.91.0000</v>
          </cell>
        </row>
        <row r="282">
          <cell r="A282" t="str">
            <v>DLZZ6FT3PCSHJVRFS001V0</v>
          </cell>
        </row>
        <row r="282">
          <cell r="C282" t="str">
            <v>6304.91.0000</v>
          </cell>
        </row>
        <row r="283">
          <cell r="A283" t="str">
            <v>DLZZ6FT10PCSGR2JA001V0</v>
          </cell>
        </row>
        <row r="283">
          <cell r="C283" t="str">
            <v>6304.91.0000</v>
          </cell>
        </row>
        <row r="284">
          <cell r="A284" t="str">
            <v>DLZZ8FT6PCSBZA0UW001V0</v>
          </cell>
        </row>
        <row r="284">
          <cell r="C284" t="str">
            <v>6304.91.0000</v>
          </cell>
        </row>
        <row r="285">
          <cell r="A285" t="str">
            <v>SRQLQYYLCSY192TC2V0</v>
          </cell>
        </row>
        <row r="285">
          <cell r="C285" t="str">
            <v>9031.80.8000</v>
          </cell>
        </row>
        <row r="286">
          <cell r="A286" t="str">
            <v>SRQLQYYLCSY29E5NUV0</v>
          </cell>
        </row>
        <row r="286">
          <cell r="C286" t="str">
            <v>9031.80.8000</v>
          </cell>
        </row>
        <row r="287">
          <cell r="A287" t="str">
            <v>GCJSDSPS5L0000001V0</v>
          </cell>
        </row>
        <row r="287">
          <cell r="C287" t="str">
            <v>8438.50.0000</v>
          </cell>
        </row>
        <row r="288">
          <cell r="A288" t="str">
            <v>DDKGCJLS12L0VIY1M001V2</v>
          </cell>
        </row>
        <row r="288">
          <cell r="C288" t="str">
            <v>8438.50.0000</v>
          </cell>
        </row>
        <row r="289">
          <cell r="A289" t="str">
            <v>SDKGCJLS10L06EIN0001V0</v>
          </cell>
        </row>
        <row r="289">
          <cell r="C289" t="str">
            <v>8438.50.0000</v>
          </cell>
        </row>
        <row r="290">
          <cell r="A290" t="str">
            <v>DDKGCJLS15L0UEPNT001V2</v>
          </cell>
        </row>
        <row r="290">
          <cell r="C290" t="str">
            <v>8438.50.0000</v>
          </cell>
        </row>
        <row r="291">
          <cell r="A291" t="str">
            <v>DGNTQQTZLSLMJSZ94001V0</v>
          </cell>
        </row>
        <row r="291">
          <cell r="C291" t="str">
            <v>8207.90.9100</v>
          </cell>
        </row>
        <row r="292">
          <cell r="A292" t="str">
            <v>DGNTQQTZLSDLJOGFA001V0</v>
          </cell>
        </row>
        <row r="292">
          <cell r="C292" t="str">
            <v>8207.90.9100</v>
          </cell>
        </row>
        <row r="293">
          <cell r="A293" t="str">
            <v>DGNTQQTZLSDLEJT1E001V0</v>
          </cell>
        </row>
        <row r="293">
          <cell r="C293" t="str">
            <v>8207.90.9100</v>
          </cell>
        </row>
        <row r="294">
          <cell r="A294" t="str">
            <v>DGNTQQTZLSDLQPMCH001V0</v>
          </cell>
        </row>
        <row r="294">
          <cell r="C294" t="str">
            <v>8207.90.9100</v>
          </cell>
        </row>
        <row r="295">
          <cell r="A295" t="str">
            <v>DGNTQQTZLSLS8SSRS001V0</v>
          </cell>
        </row>
        <row r="295">
          <cell r="C295" t="str">
            <v>8207.90.9100</v>
          </cell>
        </row>
        <row r="296">
          <cell r="A296" t="str">
            <v>DGNTQQTZGDTQT1SGR001V0</v>
          </cell>
        </row>
        <row r="296">
          <cell r="C296" t="str">
            <v>8207.90.9100</v>
          </cell>
        </row>
        <row r="297">
          <cell r="A297" t="str">
            <v>TZZT4PCS18YC3G001V0</v>
          </cell>
        </row>
        <row r="297">
          <cell r="C297">
            <v>9403991090</v>
          </cell>
        </row>
        <row r="298">
          <cell r="A298" t="str">
            <v>TZZTY28X17.7AAHCPV0</v>
          </cell>
        </row>
        <row r="298">
          <cell r="C298">
            <v>9403991090</v>
          </cell>
        </row>
        <row r="299">
          <cell r="A299" t="str">
            <v>FXZTHSGFX28XXZDT7V0</v>
          </cell>
        </row>
        <row r="299">
          <cell r="C299">
            <v>9403991090</v>
          </cell>
        </row>
        <row r="300">
          <cell r="A300" t="str">
            <v>CCYGHSPQTJ17GSTKOV0</v>
          </cell>
        </row>
        <row r="300">
          <cell r="C300" t="str">
            <v>7609.00.0090</v>
          </cell>
        </row>
        <row r="301">
          <cell r="A301" t="str">
            <v>100PCSQBHLYYT0001V0</v>
          </cell>
        </row>
        <row r="301">
          <cell r="C301" t="str">
            <v>6304.91.0000</v>
          </cell>
        </row>
        <row r="302">
          <cell r="A302" t="str">
            <v>JYLQQCXGJJT140069V0</v>
          </cell>
        </row>
        <row r="302">
          <cell r="C302" t="str">
            <v>8204.20.0000</v>
          </cell>
        </row>
        <row r="303">
          <cell r="A303" t="str">
            <v>AMYTFTPFSAJAAEFL2001V2</v>
          </cell>
        </row>
        <row r="303">
          <cell r="C303">
            <v>9019101000</v>
          </cell>
        </row>
        <row r="304">
          <cell r="A304" t="str">
            <v>SGPLHJ60INCHX4RF3001V0</v>
          </cell>
        </row>
        <row r="304">
          <cell r="C304">
            <v>8201300000</v>
          </cell>
        </row>
        <row r="305">
          <cell r="A305" t="str">
            <v>RVHCWDQ2J500GHGAFV0</v>
          </cell>
        </row>
        <row r="305">
          <cell r="C305" t="str">
            <v>7326.90.9890</v>
          </cell>
        </row>
        <row r="306">
          <cell r="A306" t="str">
            <v>DDQJD4J6000BIIXQ2V0</v>
          </cell>
        </row>
        <row r="306">
          <cell r="C306" t="str">
            <v>7326.90.9890</v>
          </cell>
        </row>
        <row r="307">
          <cell r="A307" t="str">
            <v>SDLSBXGGC15L18HO0V0</v>
          </cell>
        </row>
        <row r="307">
          <cell r="C307" t="str">
            <v>8438.50.0000</v>
          </cell>
        </row>
        <row r="308">
          <cell r="A308" t="str">
            <v>SJZJGBZJYGHWULB3QV0</v>
          </cell>
        </row>
        <row r="308">
          <cell r="C308" t="str">
            <v>7326.90.6000</v>
          </cell>
        </row>
        <row r="309">
          <cell r="A309" t="str">
            <v>DZDL8FT3INCG38O3C001V0</v>
          </cell>
        </row>
        <row r="309">
          <cell r="C309">
            <v>5609000000</v>
          </cell>
        </row>
        <row r="310">
          <cell r="A310" t="str">
            <v>SDFYPFQ75LSDF8C6Y001V0</v>
          </cell>
        </row>
        <row r="310">
          <cell r="C310" t="str">
            <v>8413.20.0090</v>
          </cell>
        </row>
        <row r="311">
          <cell r="A311" t="str">
            <v>ZPSLTJLS10X1F6ZWMV0</v>
          </cell>
        </row>
        <row r="311">
          <cell r="C311" t="str">
            <v>6306.22.0000</v>
          </cell>
        </row>
        <row r="312">
          <cell r="A312" t="str">
            <v>ZPSLTZS125X1X8KS1V0</v>
          </cell>
        </row>
        <row r="312">
          <cell r="C312" t="str">
            <v>6306.22.0000</v>
          </cell>
        </row>
        <row r="313">
          <cell r="A313" t="str">
            <v>ZPSLTJLS12X1117M6V0</v>
          </cell>
        </row>
        <row r="313">
          <cell r="C313" t="str">
            <v>6306.22.0000</v>
          </cell>
        </row>
        <row r="314">
          <cell r="A314" t="str">
            <v>ZPSLTJLS115X602MGV0</v>
          </cell>
        </row>
        <row r="314">
          <cell r="C314" t="str">
            <v>6306.22.0000</v>
          </cell>
        </row>
        <row r="315">
          <cell r="A315" t="str">
            <v>LBS1000SDLBJ00001V0</v>
          </cell>
        </row>
        <row r="315">
          <cell r="C315">
            <v>8420108900</v>
          </cell>
        </row>
        <row r="316">
          <cell r="A316" t="str">
            <v>LBS650SDLBJ000001V0</v>
          </cell>
        </row>
        <row r="316">
          <cell r="C316">
            <v>8420108900</v>
          </cell>
        </row>
        <row r="317">
          <cell r="A317" t="str">
            <v>LBS750SDLBJ000001V0</v>
          </cell>
        </row>
        <row r="317">
          <cell r="C317">
            <v>8420108900</v>
          </cell>
        </row>
        <row r="318">
          <cell r="A318" t="str">
            <v>YDHSNLYXWKBWF5VS0V0</v>
          </cell>
        </row>
        <row r="318">
          <cell r="C318">
            <v>9401390000</v>
          </cell>
        </row>
        <row r="319">
          <cell r="A319" t="str">
            <v>MADHSNLMADWKR2KEMV0</v>
          </cell>
        </row>
        <row r="319">
          <cell r="C319">
            <v>9401390000</v>
          </cell>
        </row>
        <row r="320">
          <cell r="A320" t="str">
            <v>XZXJEKWDZ7CSL7OY5001V0</v>
          </cell>
        </row>
        <row r="320">
          <cell r="C320">
            <v>9403700000</v>
          </cell>
        </row>
        <row r="321">
          <cell r="A321" t="str">
            <v>XZXJEKKDJK7CEU8SI001V0</v>
          </cell>
        </row>
        <row r="321">
          <cell r="C321">
            <v>9403700000</v>
          </cell>
        </row>
        <row r="322">
          <cell r="A322" t="str">
            <v>XZXJEKWDZ5CS2TKI8001V0</v>
          </cell>
        </row>
        <row r="322">
          <cell r="C322">
            <v>9403700000</v>
          </cell>
        </row>
        <row r="323">
          <cell r="A323" t="str">
            <v>XZXJEKDLK7CSAC5US001V0</v>
          </cell>
        </row>
        <row r="323">
          <cell r="C323">
            <v>9403700000</v>
          </cell>
        </row>
        <row r="324">
          <cell r="A324" t="str">
            <v>XZXJEKWDZ6CS681CL001V0</v>
          </cell>
        </row>
        <row r="324">
          <cell r="C324">
            <v>9403700000</v>
          </cell>
        </row>
        <row r="325">
          <cell r="A325" t="str">
            <v>YDHSJSYX450LG193DV0</v>
          </cell>
        </row>
        <row r="325">
          <cell r="C325">
            <v>9401390000</v>
          </cell>
        </row>
        <row r="326">
          <cell r="A326" t="str">
            <v>YDHSJSYXYKBWDYI0TV0</v>
          </cell>
        </row>
        <row r="326">
          <cell r="C326">
            <v>9401390000</v>
          </cell>
        </row>
        <row r="327">
          <cell r="A327" t="str">
            <v>AQZ36X4.5INHS0001V0</v>
          </cell>
        </row>
        <row r="327">
          <cell r="C327">
            <v>7308909890</v>
          </cell>
        </row>
        <row r="328">
          <cell r="A328" t="str">
            <v>AQZYCHS364.527PAFV0</v>
          </cell>
        </row>
        <row r="328">
          <cell r="C328">
            <v>7308909890</v>
          </cell>
        </row>
        <row r="329">
          <cell r="A329" t="str">
            <v>AQZYCHS425.52HFZBV0</v>
          </cell>
        </row>
        <row r="329">
          <cell r="C329">
            <v>7308909890</v>
          </cell>
        </row>
        <row r="330">
          <cell r="A330" t="str">
            <v>AQZYCHS424.52YZBJV0</v>
          </cell>
        </row>
        <row r="330">
          <cell r="C330">
            <v>7308909890</v>
          </cell>
        </row>
        <row r="331">
          <cell r="A331" t="str">
            <v>AQZ42X4.5INHS0001V0</v>
          </cell>
        </row>
        <row r="331">
          <cell r="C331">
            <v>7308909890</v>
          </cell>
        </row>
        <row r="332">
          <cell r="A332" t="str">
            <v>AQZYCHS485.52JKL5V0</v>
          </cell>
        </row>
        <row r="332">
          <cell r="C332">
            <v>7308909890</v>
          </cell>
        </row>
        <row r="333">
          <cell r="A333" t="str">
            <v>AQZYCHS365.523B0MV0</v>
          </cell>
        </row>
        <row r="333">
          <cell r="C333">
            <v>7308909890</v>
          </cell>
        </row>
        <row r="334">
          <cell r="A334" t="str">
            <v>TZZTYCZ28X188OFG9V0</v>
          </cell>
        </row>
        <row r="334">
          <cell r="C334">
            <v>9403991090</v>
          </cell>
        </row>
        <row r="335">
          <cell r="A335" t="str">
            <v>TZZTY28X17.7AAHCPV0</v>
          </cell>
        </row>
        <row r="335">
          <cell r="C335">
            <v>9403991090</v>
          </cell>
        </row>
        <row r="336">
          <cell r="A336" t="str">
            <v>ZDYSTHSPVCB1R1QB7002V0</v>
          </cell>
        </row>
        <row r="336">
          <cell r="C336">
            <v>3924900090</v>
          </cell>
        </row>
        <row r="337">
          <cell r="A337" t="str">
            <v>WSQJDTZ2TDDLTSFLY001V0</v>
          </cell>
        </row>
        <row r="337">
          <cell r="C337" t="str">
            <v>8425.42.0000</v>
          </cell>
        </row>
        <row r="338">
          <cell r="A338" t="str">
            <v>GZDZDAQM79483EIKM001V0</v>
          </cell>
        </row>
        <row r="338">
          <cell r="C338">
            <v>7308300000</v>
          </cell>
        </row>
        <row r="339">
          <cell r="A339" t="str">
            <v>CDXLJJ2463645I36LV0</v>
          </cell>
        </row>
        <row r="339">
          <cell r="C339" t="str">
            <v>8708.99.9790</v>
          </cell>
        </row>
        <row r="340">
          <cell r="A340" t="str">
            <v>MADHSJSMADYKGSSYWV0</v>
          </cell>
        </row>
        <row r="340">
          <cell r="C340">
            <v>9401390000</v>
          </cell>
        </row>
        <row r="341">
          <cell r="A341" t="str">
            <v>SDKGCJLS5L00GQ3T6001V0</v>
          </cell>
        </row>
        <row r="341">
          <cell r="C341" t="str">
            <v>8438.50.0000</v>
          </cell>
        </row>
        <row r="342">
          <cell r="C342" t="str">
            <v>8431.49.8090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2649"/>
  <sheetViews>
    <sheetView tabSelected="1" workbookViewId="0">
      <pane ySplit="1" topLeftCell="A2466" activePane="bottomLeft" state="frozen"/>
      <selection/>
      <selection pane="bottomLeft" activeCell="A2506" sqref="A2506"/>
    </sheetView>
  </sheetViews>
  <sheetFormatPr defaultColWidth="9" defaultRowHeight="14" outlineLevelCol="5"/>
  <cols>
    <col min="1" max="1" width="28" customWidth="1"/>
    <col min="2" max="2" width="40" customWidth="1"/>
    <col min="3" max="3" width="15.1272727272727" customWidth="1"/>
    <col min="4" max="4" width="20" customWidth="1"/>
    <col min="5" max="5" width="18" customWidth="1"/>
    <col min="6" max="6" width="46" customWidth="1"/>
  </cols>
  <sheetData>
    <row r="1" ht="20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30" customHeight="1" spans="1:6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t="e">
        <f>_xlfn.XLOOKUP(A2,[1]邦达数据库!$A:$A,[1]邦达数据库!$C:$C)</f>
        <v>#N/A</v>
      </c>
    </row>
    <row r="3" ht="30" customHeight="1" spans="1:6">
      <c r="A3" s="4" t="s">
        <v>11</v>
      </c>
      <c r="B3" s="5" t="s">
        <v>7</v>
      </c>
      <c r="C3" s="5" t="s">
        <v>12</v>
      </c>
      <c r="D3" s="5" t="s">
        <v>13</v>
      </c>
      <c r="E3" s="5" t="s">
        <v>14</v>
      </c>
      <c r="F3" t="str">
        <f>_xlfn.XLOOKUP(A3,[1]邦达数据库!$A:$A,[1]邦达数据库!$C:$C)</f>
        <v>6304.91.0000</v>
      </c>
    </row>
    <row r="4" ht="30" customHeight="1" spans="1:6">
      <c r="A4" s="2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t="e">
        <f>_xlfn.XLOOKUP(A4,[1]邦达数据库!$A:$A,[1]邦达数据库!$C:$C)</f>
        <v>#N/A</v>
      </c>
    </row>
    <row r="5" ht="30" customHeight="1" spans="1:6">
      <c r="A5" s="4" t="s">
        <v>20</v>
      </c>
      <c r="B5" s="5" t="s">
        <v>21</v>
      </c>
      <c r="C5" s="5" t="s">
        <v>22</v>
      </c>
      <c r="D5" s="5" t="s">
        <v>23</v>
      </c>
      <c r="E5" s="5" t="s">
        <v>24</v>
      </c>
      <c r="F5" t="e">
        <f>_xlfn.XLOOKUP(A5,[1]邦达数据库!$A:$A,[1]邦达数据库!$C:$C)</f>
        <v>#N/A</v>
      </c>
    </row>
    <row r="6" ht="30" customHeight="1" spans="1:6">
      <c r="A6" s="2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t="e">
        <f>_xlfn.XLOOKUP(A6,[1]邦达数据库!$A:$A,[1]邦达数据库!$C:$C)</f>
        <v>#N/A</v>
      </c>
    </row>
    <row r="7" ht="30" customHeight="1" spans="1:6">
      <c r="A7" s="4" t="s">
        <v>30</v>
      </c>
      <c r="B7" s="5" t="s">
        <v>31</v>
      </c>
      <c r="C7" s="5" t="s">
        <v>32</v>
      </c>
      <c r="D7" s="5" t="s">
        <v>33</v>
      </c>
      <c r="E7" s="5" t="s">
        <v>34</v>
      </c>
      <c r="F7" t="e">
        <f>_xlfn.XLOOKUP(A7,[1]邦达数据库!$A:$A,[1]邦达数据库!$C:$C)</f>
        <v>#N/A</v>
      </c>
    </row>
    <row r="8" ht="30" customHeight="1" spans="1:6">
      <c r="A8" s="2" t="s">
        <v>35</v>
      </c>
      <c r="B8" s="3" t="s">
        <v>36</v>
      </c>
      <c r="C8" s="3" t="s">
        <v>37</v>
      </c>
      <c r="D8" s="3" t="s">
        <v>38</v>
      </c>
      <c r="E8" s="3" t="s">
        <v>39</v>
      </c>
      <c r="F8" t="e">
        <f>_xlfn.XLOOKUP(A8,[1]邦达数据库!$A:$A,[1]邦达数据库!$C:$C)</f>
        <v>#N/A</v>
      </c>
    </row>
    <row r="9" ht="30" customHeight="1" spans="1:6">
      <c r="A9" s="4" t="s">
        <v>40</v>
      </c>
      <c r="B9" s="5" t="s">
        <v>36</v>
      </c>
      <c r="C9" s="5" t="s">
        <v>37</v>
      </c>
      <c r="D9" s="5" t="s">
        <v>38</v>
      </c>
      <c r="E9" s="5" t="s">
        <v>39</v>
      </c>
      <c r="F9" t="e">
        <f>_xlfn.XLOOKUP(A9,[1]邦达数据库!$A:$A,[1]邦达数据库!$C:$C)</f>
        <v>#N/A</v>
      </c>
    </row>
    <row r="10" ht="30" customHeight="1" spans="1:6">
      <c r="A10" s="2" t="s">
        <v>41</v>
      </c>
      <c r="B10" s="3" t="s">
        <v>36</v>
      </c>
      <c r="C10" s="3" t="s">
        <v>42</v>
      </c>
      <c r="D10" s="3" t="s">
        <v>38</v>
      </c>
      <c r="E10" s="3" t="s">
        <v>39</v>
      </c>
      <c r="F10" t="e">
        <f>_xlfn.XLOOKUP(A10,[1]邦达数据库!$A:$A,[1]邦达数据库!$C:$C)</f>
        <v>#N/A</v>
      </c>
    </row>
    <row r="11" ht="30" customHeight="1" spans="1:6">
      <c r="A11" s="4" t="s">
        <v>43</v>
      </c>
      <c r="B11" s="5" t="s">
        <v>36</v>
      </c>
      <c r="C11" s="5" t="s">
        <v>42</v>
      </c>
      <c r="D11" s="5" t="s">
        <v>38</v>
      </c>
      <c r="E11" s="5" t="s">
        <v>39</v>
      </c>
      <c r="F11" t="e">
        <f>_xlfn.XLOOKUP(A11,[1]邦达数据库!$A:$A,[1]邦达数据库!$C:$C)</f>
        <v>#N/A</v>
      </c>
    </row>
    <row r="12" ht="30" customHeight="1" spans="1:6">
      <c r="A12" s="2" t="s">
        <v>44</v>
      </c>
      <c r="B12" s="3" t="s">
        <v>45</v>
      </c>
      <c r="C12" s="3" t="s">
        <v>46</v>
      </c>
      <c r="D12" s="3" t="s">
        <v>47</v>
      </c>
      <c r="E12" s="3" t="s">
        <v>48</v>
      </c>
      <c r="F12" t="e">
        <f>_xlfn.XLOOKUP(A12,[1]邦达数据库!$A:$A,[1]邦达数据库!$C:$C)</f>
        <v>#N/A</v>
      </c>
    </row>
    <row r="13" ht="30" customHeight="1" spans="1:6">
      <c r="A13" s="4" t="s">
        <v>49</v>
      </c>
      <c r="B13" s="5" t="s">
        <v>45</v>
      </c>
      <c r="C13" s="5" t="s">
        <v>46</v>
      </c>
      <c r="D13" s="5" t="s">
        <v>47</v>
      </c>
      <c r="E13" s="5" t="s">
        <v>48</v>
      </c>
      <c r="F13" t="e">
        <f>_xlfn.XLOOKUP(A13,[1]邦达数据库!$A:$A,[1]邦达数据库!$C:$C)</f>
        <v>#N/A</v>
      </c>
    </row>
    <row r="14" ht="30" customHeight="1" spans="1:6">
      <c r="A14" s="2" t="s">
        <v>50</v>
      </c>
      <c r="B14" s="3" t="s">
        <v>45</v>
      </c>
      <c r="C14" s="3" t="s">
        <v>46</v>
      </c>
      <c r="D14" s="3" t="s">
        <v>47</v>
      </c>
      <c r="E14" s="3" t="s">
        <v>48</v>
      </c>
      <c r="F14" t="e">
        <f>_xlfn.XLOOKUP(A14,[1]邦达数据库!$A:$A,[1]邦达数据库!$C:$C)</f>
        <v>#N/A</v>
      </c>
    </row>
    <row r="15" ht="30" customHeight="1" spans="1:6">
      <c r="A15" s="4" t="s">
        <v>51</v>
      </c>
      <c r="B15" s="5" t="s">
        <v>36</v>
      </c>
      <c r="C15" s="5" t="s">
        <v>37</v>
      </c>
      <c r="D15" s="5" t="s">
        <v>38</v>
      </c>
      <c r="E15" s="5" t="s">
        <v>39</v>
      </c>
      <c r="F15" t="e">
        <f>_xlfn.XLOOKUP(A15,[1]邦达数据库!$A:$A,[1]邦达数据库!$C:$C)</f>
        <v>#N/A</v>
      </c>
    </row>
    <row r="16" ht="30" customHeight="1" spans="1:6">
      <c r="A16" s="2" t="s">
        <v>52</v>
      </c>
      <c r="B16" s="3" t="s">
        <v>53</v>
      </c>
      <c r="C16" s="3" t="s">
        <v>54</v>
      </c>
      <c r="D16" s="3" t="s">
        <v>55</v>
      </c>
      <c r="E16" s="3" t="s">
        <v>56</v>
      </c>
      <c r="F16" t="e">
        <f>_xlfn.XLOOKUP(A16,[1]邦达数据库!$A:$A,[1]邦达数据库!$C:$C)</f>
        <v>#N/A</v>
      </c>
    </row>
    <row r="17" ht="30" customHeight="1" spans="1:6">
      <c r="A17" s="4" t="s">
        <v>57</v>
      </c>
      <c r="B17" s="5" t="s">
        <v>58</v>
      </c>
      <c r="C17" s="5" t="s">
        <v>54</v>
      </c>
      <c r="D17" s="5" t="s">
        <v>59</v>
      </c>
      <c r="E17" s="5" t="s">
        <v>60</v>
      </c>
      <c r="F17" t="e">
        <f>_xlfn.XLOOKUP(A17,[1]邦达数据库!$A:$A,[1]邦达数据库!$C:$C)</f>
        <v>#N/A</v>
      </c>
    </row>
    <row r="18" ht="30" customHeight="1" spans="1:6">
      <c r="A18" s="2" t="s">
        <v>61</v>
      </c>
      <c r="B18" s="3" t="s">
        <v>62</v>
      </c>
      <c r="C18" s="3" t="s">
        <v>63</v>
      </c>
      <c r="D18" s="3" t="s">
        <v>64</v>
      </c>
      <c r="E18" s="3" t="s">
        <v>65</v>
      </c>
      <c r="F18" t="e">
        <f>_xlfn.XLOOKUP(A18,[1]邦达数据库!$A:$A,[1]邦达数据库!$C:$C)</f>
        <v>#N/A</v>
      </c>
    </row>
    <row r="19" ht="30" customHeight="1" spans="1:6">
      <c r="A19" s="4" t="s">
        <v>66</v>
      </c>
      <c r="B19" s="5" t="s">
        <v>67</v>
      </c>
      <c r="C19" s="5" t="s">
        <v>68</v>
      </c>
      <c r="D19" s="5" t="s">
        <v>64</v>
      </c>
      <c r="E19" s="5" t="s">
        <v>65</v>
      </c>
      <c r="F19" t="e">
        <f>_xlfn.XLOOKUP(A19,[1]邦达数据库!$A:$A,[1]邦达数据库!$C:$C)</f>
        <v>#N/A</v>
      </c>
    </row>
    <row r="20" ht="30" customHeight="1" spans="1:6">
      <c r="A20" s="2" t="s">
        <v>69</v>
      </c>
      <c r="B20" s="3" t="s">
        <v>31</v>
      </c>
      <c r="C20" s="3" t="s">
        <v>32</v>
      </c>
      <c r="D20" s="3" t="s">
        <v>33</v>
      </c>
      <c r="E20" s="3" t="s">
        <v>34</v>
      </c>
      <c r="F20" t="e">
        <f>_xlfn.XLOOKUP(A20,[1]邦达数据库!$A:$A,[1]邦达数据库!$C:$C)</f>
        <v>#N/A</v>
      </c>
    </row>
    <row r="21" ht="30" customHeight="1" spans="1:6">
      <c r="A21" s="4" t="s">
        <v>70</v>
      </c>
      <c r="B21" s="5" t="s">
        <v>71</v>
      </c>
      <c r="C21" s="5" t="s">
        <v>72</v>
      </c>
      <c r="D21" s="5" t="s">
        <v>73</v>
      </c>
      <c r="E21" s="5" t="s">
        <v>74</v>
      </c>
      <c r="F21" t="s">
        <v>75</v>
      </c>
    </row>
    <row r="22" ht="30" customHeight="1" spans="1:6">
      <c r="A22" s="2" t="s">
        <v>76</v>
      </c>
      <c r="B22" s="3" t="s">
        <v>77</v>
      </c>
      <c r="C22" s="3" t="s">
        <v>78</v>
      </c>
      <c r="D22" s="3" t="s">
        <v>79</v>
      </c>
      <c r="E22" s="3" t="s">
        <v>80</v>
      </c>
      <c r="F22" t="e">
        <f>_xlfn.XLOOKUP(A22,[1]邦达数据库!$A:$A,[1]邦达数据库!$C:$C)</f>
        <v>#N/A</v>
      </c>
    </row>
    <row r="23" ht="30" customHeight="1" spans="1:6">
      <c r="A23" s="4" t="s">
        <v>81</v>
      </c>
      <c r="B23" s="5" t="s">
        <v>82</v>
      </c>
      <c r="C23" s="5" t="s">
        <v>83</v>
      </c>
      <c r="D23" s="5" t="s">
        <v>84</v>
      </c>
      <c r="E23" s="5" t="s">
        <v>85</v>
      </c>
      <c r="F23" t="e">
        <f>_xlfn.XLOOKUP(A23,[1]邦达数据库!$A:$A,[1]邦达数据库!$C:$C)</f>
        <v>#N/A</v>
      </c>
    </row>
    <row r="24" ht="30" customHeight="1" spans="1:6">
      <c r="A24" s="2" t="s">
        <v>86</v>
      </c>
      <c r="B24" s="3" t="s">
        <v>87</v>
      </c>
      <c r="C24" s="3" t="s">
        <v>88</v>
      </c>
      <c r="D24" s="3" t="s">
        <v>89</v>
      </c>
      <c r="E24" s="3" t="s">
        <v>90</v>
      </c>
      <c r="F24" t="e">
        <f>_xlfn.XLOOKUP(A24,[1]邦达数据库!$A:$A,[1]邦达数据库!$C:$C)</f>
        <v>#N/A</v>
      </c>
    </row>
    <row r="25" ht="30" customHeight="1" spans="1:6">
      <c r="A25" s="4" t="s">
        <v>91</v>
      </c>
      <c r="B25" s="5" t="s">
        <v>92</v>
      </c>
      <c r="C25" s="5" t="s">
        <v>93</v>
      </c>
      <c r="D25" s="5" t="s">
        <v>94</v>
      </c>
      <c r="E25" s="5" t="s">
        <v>95</v>
      </c>
      <c r="F25" t="e">
        <f>_xlfn.XLOOKUP(A25,[1]邦达数据库!$A:$A,[1]邦达数据库!$C:$C)</f>
        <v>#N/A</v>
      </c>
    </row>
    <row r="26" ht="30" customHeight="1" spans="1:6">
      <c r="A26" s="2" t="s">
        <v>96</v>
      </c>
      <c r="B26" s="3" t="s">
        <v>97</v>
      </c>
      <c r="C26" s="3" t="s">
        <v>98</v>
      </c>
      <c r="D26" s="3" t="s">
        <v>99</v>
      </c>
      <c r="E26" s="3" t="s">
        <v>100</v>
      </c>
      <c r="F26" t="e">
        <f>_xlfn.XLOOKUP(A26,[1]邦达数据库!$A:$A,[1]邦达数据库!$C:$C)</f>
        <v>#N/A</v>
      </c>
    </row>
    <row r="27" ht="30" customHeight="1" spans="1:6">
      <c r="A27" s="4" t="s">
        <v>101</v>
      </c>
      <c r="B27" s="5" t="s">
        <v>102</v>
      </c>
      <c r="C27" s="5" t="s">
        <v>103</v>
      </c>
      <c r="D27" s="5" t="s">
        <v>104</v>
      </c>
      <c r="E27" s="5" t="s">
        <v>105</v>
      </c>
      <c r="F27" t="e">
        <f>_xlfn.XLOOKUP(A27,[1]邦达数据库!$A:$A,[1]邦达数据库!$C:$C)</f>
        <v>#N/A</v>
      </c>
    </row>
    <row r="28" ht="30" customHeight="1" spans="1:6">
      <c r="A28" s="2" t="s">
        <v>106</v>
      </c>
      <c r="B28" s="3" t="s">
        <v>102</v>
      </c>
      <c r="C28" s="3" t="s">
        <v>103</v>
      </c>
      <c r="D28" s="3" t="s">
        <v>107</v>
      </c>
      <c r="E28" s="3" t="s">
        <v>108</v>
      </c>
      <c r="F28" t="e">
        <f>_xlfn.XLOOKUP(A28,[1]邦达数据库!$A:$A,[1]邦达数据库!$C:$C)</f>
        <v>#N/A</v>
      </c>
    </row>
    <row r="29" ht="30" customHeight="1" spans="1:6">
      <c r="A29" s="4" t="s">
        <v>109</v>
      </c>
      <c r="B29" s="5" t="s">
        <v>110</v>
      </c>
      <c r="C29" s="5" t="s">
        <v>111</v>
      </c>
      <c r="D29" s="5" t="s">
        <v>112</v>
      </c>
      <c r="E29" s="5" t="s">
        <v>113</v>
      </c>
      <c r="F29" t="e">
        <f>_xlfn.XLOOKUP(A29,[1]邦达数据库!$A:$A,[1]邦达数据库!$C:$C)</f>
        <v>#N/A</v>
      </c>
    </row>
    <row r="30" ht="30" customHeight="1" spans="1:6">
      <c r="A30" s="2" t="s">
        <v>114</v>
      </c>
      <c r="B30" s="3" t="s">
        <v>110</v>
      </c>
      <c r="C30" s="3" t="s">
        <v>111</v>
      </c>
      <c r="D30" s="3" t="s">
        <v>112</v>
      </c>
      <c r="E30" s="3" t="s">
        <v>113</v>
      </c>
      <c r="F30" t="e">
        <f>_xlfn.XLOOKUP(A30,[1]邦达数据库!$A:$A,[1]邦达数据库!$C:$C)</f>
        <v>#N/A</v>
      </c>
    </row>
    <row r="31" ht="30" customHeight="1" spans="1:6">
      <c r="A31" s="4" t="s">
        <v>115</v>
      </c>
      <c r="B31" s="5" t="s">
        <v>110</v>
      </c>
      <c r="C31" s="5" t="s">
        <v>111</v>
      </c>
      <c r="D31" s="5" t="s">
        <v>112</v>
      </c>
      <c r="E31" s="5" t="s">
        <v>113</v>
      </c>
      <c r="F31" t="e">
        <f>_xlfn.XLOOKUP(A31,[1]邦达数据库!$A:$A,[1]邦达数据库!$C:$C)</f>
        <v>#N/A</v>
      </c>
    </row>
    <row r="32" ht="30" customHeight="1" spans="1:6">
      <c r="A32" s="2" t="s">
        <v>116</v>
      </c>
      <c r="B32" s="3" t="s">
        <v>102</v>
      </c>
      <c r="C32" s="3" t="s">
        <v>103</v>
      </c>
      <c r="D32" s="3" t="s">
        <v>117</v>
      </c>
      <c r="E32" s="3" t="s">
        <v>118</v>
      </c>
      <c r="F32" t="e">
        <f>_xlfn.XLOOKUP(A32,[1]邦达数据库!$A:$A,[1]邦达数据库!$C:$C)</f>
        <v>#N/A</v>
      </c>
    </row>
    <row r="33" ht="30" customHeight="1" spans="1:6">
      <c r="A33" s="4" t="s">
        <v>119</v>
      </c>
      <c r="B33" s="5" t="s">
        <v>102</v>
      </c>
      <c r="C33" s="5" t="s">
        <v>103</v>
      </c>
      <c r="D33" s="5" t="s">
        <v>104</v>
      </c>
      <c r="E33" s="5" t="s">
        <v>105</v>
      </c>
      <c r="F33" t="e">
        <f>_xlfn.XLOOKUP(A33,[1]邦达数据库!$A:$A,[1]邦达数据库!$C:$C)</f>
        <v>#N/A</v>
      </c>
    </row>
    <row r="34" ht="30" customHeight="1" spans="1:6">
      <c r="A34" s="2" t="s">
        <v>120</v>
      </c>
      <c r="B34" s="3" t="s">
        <v>77</v>
      </c>
      <c r="C34" s="3" t="s">
        <v>78</v>
      </c>
      <c r="D34" s="3" t="s">
        <v>79</v>
      </c>
      <c r="E34" s="3" t="s">
        <v>80</v>
      </c>
      <c r="F34" t="e">
        <f>_xlfn.XLOOKUP(A34,[1]邦达数据库!$A:$A,[1]邦达数据库!$C:$C)</f>
        <v>#N/A</v>
      </c>
    </row>
    <row r="35" ht="30" customHeight="1" spans="1:6">
      <c r="A35" s="4" t="s">
        <v>121</v>
      </c>
      <c r="B35" s="5" t="s">
        <v>122</v>
      </c>
      <c r="C35" s="5" t="s">
        <v>123</v>
      </c>
      <c r="D35" s="5" t="s">
        <v>124</v>
      </c>
      <c r="E35" s="5" t="s">
        <v>125</v>
      </c>
      <c r="F35" t="e">
        <f>_xlfn.XLOOKUP(A35,[1]邦达数据库!$A:$A,[1]邦达数据库!$C:$C)</f>
        <v>#N/A</v>
      </c>
    </row>
    <row r="36" ht="30" customHeight="1" spans="1:6">
      <c r="A36" s="2" t="s">
        <v>126</v>
      </c>
      <c r="B36" s="3" t="s">
        <v>122</v>
      </c>
      <c r="C36" s="3" t="s">
        <v>123</v>
      </c>
      <c r="D36" s="3" t="s">
        <v>127</v>
      </c>
      <c r="E36" s="3" t="s">
        <v>128</v>
      </c>
      <c r="F36" t="e">
        <f>_xlfn.XLOOKUP(A36,[1]邦达数据库!$A:$A,[1]邦达数据库!$C:$C)</f>
        <v>#N/A</v>
      </c>
    </row>
    <row r="37" ht="30" customHeight="1" spans="1:6">
      <c r="A37" s="4" t="s">
        <v>129</v>
      </c>
      <c r="B37" s="5" t="s">
        <v>122</v>
      </c>
      <c r="C37" s="5" t="s">
        <v>123</v>
      </c>
      <c r="D37" s="5" t="s">
        <v>130</v>
      </c>
      <c r="E37" s="5" t="s">
        <v>131</v>
      </c>
      <c r="F37" t="e">
        <f>_xlfn.XLOOKUP(A37,[1]邦达数据库!$A:$A,[1]邦达数据库!$C:$C)</f>
        <v>#N/A</v>
      </c>
    </row>
    <row r="38" ht="30" customHeight="1" spans="1:6">
      <c r="A38" s="2" t="s">
        <v>132</v>
      </c>
      <c r="B38" s="3" t="s">
        <v>122</v>
      </c>
      <c r="C38" s="3" t="s">
        <v>123</v>
      </c>
      <c r="D38" s="3" t="s">
        <v>124</v>
      </c>
      <c r="E38" s="3" t="s">
        <v>125</v>
      </c>
      <c r="F38" t="e">
        <f>_xlfn.XLOOKUP(A38,[1]邦达数据库!$A:$A,[1]邦达数据库!$C:$C)</f>
        <v>#N/A</v>
      </c>
    </row>
    <row r="39" ht="30" customHeight="1" spans="1:6">
      <c r="A39" s="4" t="s">
        <v>133</v>
      </c>
      <c r="B39" s="5" t="s">
        <v>122</v>
      </c>
      <c r="C39" s="5" t="s">
        <v>123</v>
      </c>
      <c r="D39" s="5" t="s">
        <v>124</v>
      </c>
      <c r="E39" s="5" t="s">
        <v>125</v>
      </c>
      <c r="F39" t="e">
        <f>_xlfn.XLOOKUP(A39,[1]邦达数据库!$A:$A,[1]邦达数据库!$C:$C)</f>
        <v>#N/A</v>
      </c>
    </row>
    <row r="40" ht="30" customHeight="1" spans="1:6">
      <c r="A40" s="2" t="s">
        <v>134</v>
      </c>
      <c r="B40" s="3" t="s">
        <v>122</v>
      </c>
      <c r="C40" s="3" t="s">
        <v>123</v>
      </c>
      <c r="D40" s="3" t="s">
        <v>130</v>
      </c>
      <c r="E40" s="3" t="s">
        <v>131</v>
      </c>
      <c r="F40" t="e">
        <f>_xlfn.XLOOKUP(A40,[1]邦达数据库!$A:$A,[1]邦达数据库!$C:$C)</f>
        <v>#N/A</v>
      </c>
    </row>
    <row r="41" ht="30" customHeight="1" spans="1:6">
      <c r="A41" s="4" t="s">
        <v>135</v>
      </c>
      <c r="B41" s="5" t="s">
        <v>122</v>
      </c>
      <c r="C41" s="5" t="s">
        <v>123</v>
      </c>
      <c r="D41" s="5" t="s">
        <v>127</v>
      </c>
      <c r="E41" s="5" t="s">
        <v>128</v>
      </c>
      <c r="F41" t="e">
        <f>_xlfn.XLOOKUP(A41,[1]邦达数据库!$A:$A,[1]邦达数据库!$C:$C)</f>
        <v>#N/A</v>
      </c>
    </row>
    <row r="42" ht="30" customHeight="1" spans="1:6">
      <c r="A42" s="2" t="s">
        <v>136</v>
      </c>
      <c r="B42" s="3" t="s">
        <v>122</v>
      </c>
      <c r="C42" s="3" t="s">
        <v>123</v>
      </c>
      <c r="D42" s="3" t="s">
        <v>124</v>
      </c>
      <c r="E42" s="3" t="s">
        <v>125</v>
      </c>
      <c r="F42" t="e">
        <f>_xlfn.XLOOKUP(A42,[1]邦达数据库!$A:$A,[1]邦达数据库!$C:$C)</f>
        <v>#N/A</v>
      </c>
    </row>
    <row r="43" ht="30" customHeight="1" spans="1:6">
      <c r="A43" s="4" t="s">
        <v>137</v>
      </c>
      <c r="B43" s="5" t="s">
        <v>87</v>
      </c>
      <c r="C43" s="5" t="s">
        <v>88</v>
      </c>
      <c r="D43" s="5" t="s">
        <v>89</v>
      </c>
      <c r="E43" s="5" t="s">
        <v>90</v>
      </c>
      <c r="F43" t="e">
        <f>_xlfn.XLOOKUP(A43,[1]邦达数据库!$A:$A,[1]邦达数据库!$C:$C)</f>
        <v>#N/A</v>
      </c>
    </row>
    <row r="44" ht="30" customHeight="1" spans="1:6">
      <c r="A44" s="2" t="s">
        <v>138</v>
      </c>
      <c r="B44" s="3" t="s">
        <v>139</v>
      </c>
      <c r="C44" s="3" t="s">
        <v>72</v>
      </c>
      <c r="D44" s="3" t="s">
        <v>140</v>
      </c>
      <c r="E44" s="3" t="s">
        <v>141</v>
      </c>
      <c r="F44" t="e">
        <f>_xlfn.XLOOKUP(A44,[1]邦达数据库!$A:$A,[1]邦达数据库!$C:$C)</f>
        <v>#N/A</v>
      </c>
    </row>
    <row r="45" ht="30" customHeight="1" spans="1:6">
      <c r="A45" s="4" t="s">
        <v>142</v>
      </c>
      <c r="B45" s="5" t="s">
        <v>92</v>
      </c>
      <c r="C45" s="5" t="s">
        <v>93</v>
      </c>
      <c r="D45" s="5" t="s">
        <v>94</v>
      </c>
      <c r="E45" s="5" t="s">
        <v>95</v>
      </c>
      <c r="F45" t="e">
        <f>_xlfn.XLOOKUP(A45,[1]邦达数据库!$A:$A,[1]邦达数据库!$C:$C)</f>
        <v>#N/A</v>
      </c>
    </row>
    <row r="46" ht="30" customHeight="1" spans="1:6">
      <c r="A46" s="2" t="s">
        <v>143</v>
      </c>
      <c r="B46" s="3" t="s">
        <v>144</v>
      </c>
      <c r="C46" s="3" t="s">
        <v>145</v>
      </c>
      <c r="D46" s="3" t="s">
        <v>33</v>
      </c>
      <c r="E46" s="3" t="s">
        <v>34</v>
      </c>
      <c r="F46" t="e">
        <f>_xlfn.XLOOKUP(A46,[1]邦达数据库!$A:$A,[1]邦达数据库!$C:$C)</f>
        <v>#N/A</v>
      </c>
    </row>
    <row r="47" ht="30" customHeight="1" spans="1:6">
      <c r="A47" s="4" t="s">
        <v>146</v>
      </c>
      <c r="B47" s="5" t="s">
        <v>147</v>
      </c>
      <c r="C47" s="5" t="s">
        <v>148</v>
      </c>
      <c r="D47" s="5" t="s">
        <v>149</v>
      </c>
      <c r="E47" s="5" t="s">
        <v>150</v>
      </c>
      <c r="F47" t="e">
        <f>_xlfn.XLOOKUP(A47,[1]邦达数据库!$A:$A,[1]邦达数据库!$C:$C)</f>
        <v>#N/A</v>
      </c>
    </row>
    <row r="48" ht="30" customHeight="1" spans="1:6">
      <c r="A48" s="2" t="s">
        <v>151</v>
      </c>
      <c r="B48" s="3" t="s">
        <v>147</v>
      </c>
      <c r="C48" s="3" t="s">
        <v>148</v>
      </c>
      <c r="D48" s="3" t="s">
        <v>149</v>
      </c>
      <c r="E48" s="3" t="s">
        <v>150</v>
      </c>
      <c r="F48" t="e">
        <f>_xlfn.XLOOKUP(A48,[1]邦达数据库!$A:$A,[1]邦达数据库!$C:$C)</f>
        <v>#N/A</v>
      </c>
    </row>
    <row r="49" ht="30" customHeight="1" spans="1:6">
      <c r="A49" s="4" t="s">
        <v>152</v>
      </c>
      <c r="B49" s="5" t="s">
        <v>147</v>
      </c>
      <c r="C49" s="5" t="s">
        <v>148</v>
      </c>
      <c r="D49" s="5" t="s">
        <v>149</v>
      </c>
      <c r="E49" s="5" t="s">
        <v>150</v>
      </c>
      <c r="F49" t="e">
        <f>_xlfn.XLOOKUP(A49,[1]邦达数据库!$A:$A,[1]邦达数据库!$C:$C)</f>
        <v>#N/A</v>
      </c>
    </row>
    <row r="50" ht="30" customHeight="1" spans="1:6">
      <c r="A50" s="2" t="s">
        <v>153</v>
      </c>
      <c r="B50" s="3" t="s">
        <v>144</v>
      </c>
      <c r="C50" s="3" t="s">
        <v>145</v>
      </c>
      <c r="D50" s="3" t="s">
        <v>33</v>
      </c>
      <c r="E50" s="3" t="s">
        <v>34</v>
      </c>
      <c r="F50" t="e">
        <f>_xlfn.XLOOKUP(A50,[1]邦达数据库!$A:$A,[1]邦达数据库!$C:$C)</f>
        <v>#N/A</v>
      </c>
    </row>
    <row r="51" ht="30" customHeight="1" spans="1:6">
      <c r="A51" s="4" t="s">
        <v>154</v>
      </c>
      <c r="B51" s="5" t="s">
        <v>144</v>
      </c>
      <c r="C51" s="5" t="s">
        <v>145</v>
      </c>
      <c r="D51" s="5" t="s">
        <v>33</v>
      </c>
      <c r="E51" s="5" t="s">
        <v>34</v>
      </c>
      <c r="F51" t="e">
        <f>_xlfn.XLOOKUP(A51,[1]邦达数据库!$A:$A,[1]邦达数据库!$C:$C)</f>
        <v>#N/A</v>
      </c>
    </row>
    <row r="52" ht="30" customHeight="1" spans="1:6">
      <c r="A52" s="2" t="s">
        <v>155</v>
      </c>
      <c r="B52" s="3" t="s">
        <v>156</v>
      </c>
      <c r="C52" s="3" t="s">
        <v>157</v>
      </c>
      <c r="D52" s="3" t="s">
        <v>158</v>
      </c>
      <c r="E52" s="3" t="s">
        <v>159</v>
      </c>
      <c r="F52" t="e">
        <f>_xlfn.XLOOKUP(A52,[1]邦达数据库!$A:$A,[1]邦达数据库!$C:$C)</f>
        <v>#N/A</v>
      </c>
    </row>
    <row r="53" ht="30" customHeight="1" spans="1:6">
      <c r="A53" s="4" t="s">
        <v>160</v>
      </c>
      <c r="B53" s="5" t="s">
        <v>122</v>
      </c>
      <c r="C53" s="5" t="s">
        <v>123</v>
      </c>
      <c r="D53" s="5" t="s">
        <v>127</v>
      </c>
      <c r="E53" s="5" t="s">
        <v>128</v>
      </c>
      <c r="F53" t="e">
        <f>_xlfn.XLOOKUP(A53,[1]邦达数据库!$A:$A,[1]邦达数据库!$C:$C)</f>
        <v>#N/A</v>
      </c>
    </row>
    <row r="54" ht="30" customHeight="1" spans="1:6">
      <c r="A54" s="2" t="s">
        <v>161</v>
      </c>
      <c r="B54" s="3" t="s">
        <v>122</v>
      </c>
      <c r="C54" s="3" t="s">
        <v>123</v>
      </c>
      <c r="D54" s="3" t="s">
        <v>127</v>
      </c>
      <c r="E54" s="3" t="s">
        <v>128</v>
      </c>
      <c r="F54" t="e">
        <f>_xlfn.XLOOKUP(A54,[1]邦达数据库!$A:$A,[1]邦达数据库!$C:$C)</f>
        <v>#N/A</v>
      </c>
    </row>
    <row r="55" ht="30" customHeight="1" spans="1:6">
      <c r="A55" s="4" t="s">
        <v>162</v>
      </c>
      <c r="B55" s="5" t="s">
        <v>122</v>
      </c>
      <c r="C55" s="5" t="s">
        <v>123</v>
      </c>
      <c r="D55" s="5" t="s">
        <v>124</v>
      </c>
      <c r="E55" s="5" t="s">
        <v>125</v>
      </c>
      <c r="F55" t="e">
        <f>_xlfn.XLOOKUP(A55,[1]邦达数据库!$A:$A,[1]邦达数据库!$C:$C)</f>
        <v>#N/A</v>
      </c>
    </row>
    <row r="56" ht="30" customHeight="1" spans="1:6">
      <c r="A56" s="2" t="s">
        <v>163</v>
      </c>
      <c r="B56" s="3" t="s">
        <v>122</v>
      </c>
      <c r="C56" s="3" t="s">
        <v>123</v>
      </c>
      <c r="D56" s="3" t="s">
        <v>127</v>
      </c>
      <c r="E56" s="3" t="s">
        <v>128</v>
      </c>
      <c r="F56" t="e">
        <f>_xlfn.XLOOKUP(A56,[1]邦达数据库!$A:$A,[1]邦达数据库!$C:$C)</f>
        <v>#N/A</v>
      </c>
    </row>
    <row r="57" ht="30" customHeight="1" spans="1:6">
      <c r="A57" s="4" t="s">
        <v>164</v>
      </c>
      <c r="B57" s="5" t="s">
        <v>122</v>
      </c>
      <c r="C57" s="5" t="s">
        <v>165</v>
      </c>
      <c r="D57" s="5" t="s">
        <v>124</v>
      </c>
      <c r="E57" s="5" t="s">
        <v>125</v>
      </c>
      <c r="F57" t="e">
        <f>_xlfn.XLOOKUP(A57,[1]邦达数据库!$A:$A,[1]邦达数据库!$C:$C)</f>
        <v>#N/A</v>
      </c>
    </row>
    <row r="58" ht="30" customHeight="1" spans="1:6">
      <c r="A58" s="2" t="s">
        <v>166</v>
      </c>
      <c r="B58" s="3" t="s">
        <v>122</v>
      </c>
      <c r="C58" s="3" t="s">
        <v>165</v>
      </c>
      <c r="D58" s="3" t="s">
        <v>130</v>
      </c>
      <c r="E58" s="3" t="s">
        <v>131</v>
      </c>
      <c r="F58" t="e">
        <f>_xlfn.XLOOKUP(A58,[1]邦达数据库!$A:$A,[1]邦达数据库!$C:$C)</f>
        <v>#N/A</v>
      </c>
    </row>
    <row r="59" ht="30" customHeight="1" spans="1:6">
      <c r="A59" s="4" t="s">
        <v>167</v>
      </c>
      <c r="B59" s="5" t="s">
        <v>168</v>
      </c>
      <c r="C59" s="5" t="s">
        <v>169</v>
      </c>
      <c r="D59" s="5" t="s">
        <v>170</v>
      </c>
      <c r="E59" s="5" t="s">
        <v>171</v>
      </c>
      <c r="F59" t="e">
        <f>_xlfn.XLOOKUP(A59,[1]邦达数据库!$A:$A,[1]邦达数据库!$C:$C)</f>
        <v>#N/A</v>
      </c>
    </row>
    <row r="60" ht="30" customHeight="1" spans="1:6">
      <c r="A60" s="2" t="s">
        <v>172</v>
      </c>
      <c r="B60" s="3" t="s">
        <v>7</v>
      </c>
      <c r="C60" s="3" t="s">
        <v>12</v>
      </c>
      <c r="D60" s="3" t="s">
        <v>173</v>
      </c>
      <c r="E60" s="3" t="s">
        <v>174</v>
      </c>
      <c r="F60" t="e">
        <f>_xlfn.XLOOKUP(A60,[1]邦达数据库!$A:$A,[1]邦达数据库!$C:$C)</f>
        <v>#N/A</v>
      </c>
    </row>
    <row r="61" ht="30" customHeight="1" spans="1:6">
      <c r="A61" s="4" t="s">
        <v>175</v>
      </c>
      <c r="B61" s="5" t="s">
        <v>7</v>
      </c>
      <c r="C61" s="5" t="s">
        <v>12</v>
      </c>
      <c r="D61" s="5" t="s">
        <v>173</v>
      </c>
      <c r="E61" s="5" t="s">
        <v>174</v>
      </c>
      <c r="F61" t="e">
        <f>_xlfn.XLOOKUP(A61,[1]邦达数据库!$A:$A,[1]邦达数据库!$C:$C)</f>
        <v>#N/A</v>
      </c>
    </row>
    <row r="62" ht="30" customHeight="1" spans="1:6">
      <c r="A62" s="2" t="s">
        <v>176</v>
      </c>
      <c r="B62" s="3" t="s">
        <v>97</v>
      </c>
      <c r="C62" s="3" t="s">
        <v>98</v>
      </c>
      <c r="D62" s="3" t="s">
        <v>177</v>
      </c>
      <c r="E62" s="3" t="s">
        <v>178</v>
      </c>
      <c r="F62" t="e">
        <f>_xlfn.XLOOKUP(A62,[1]邦达数据库!$A:$A,[1]邦达数据库!$C:$C)</f>
        <v>#N/A</v>
      </c>
    </row>
    <row r="63" ht="30" customHeight="1" spans="1:6">
      <c r="A63" s="4" t="s">
        <v>179</v>
      </c>
      <c r="B63" s="5" t="s">
        <v>180</v>
      </c>
      <c r="C63" s="5" t="s">
        <v>17</v>
      </c>
      <c r="D63" s="5" t="s">
        <v>181</v>
      </c>
      <c r="E63" s="5" t="s">
        <v>182</v>
      </c>
      <c r="F63" t="e">
        <f>_xlfn.XLOOKUP(A63,[1]邦达数据库!$A:$A,[1]邦达数据库!$C:$C)</f>
        <v>#N/A</v>
      </c>
    </row>
    <row r="64" ht="30" customHeight="1" spans="1:6">
      <c r="A64" s="2" t="s">
        <v>183</v>
      </c>
      <c r="B64" s="3" t="s">
        <v>180</v>
      </c>
      <c r="C64" s="3" t="s">
        <v>17</v>
      </c>
      <c r="D64" s="3" t="s">
        <v>184</v>
      </c>
      <c r="E64" s="3" t="s">
        <v>185</v>
      </c>
      <c r="F64" t="e">
        <f>_xlfn.XLOOKUP(A64,[1]邦达数据库!$A:$A,[1]邦达数据库!$C:$C)</f>
        <v>#N/A</v>
      </c>
    </row>
    <row r="65" ht="30" customHeight="1" spans="1:6">
      <c r="A65" s="4" t="s">
        <v>186</v>
      </c>
      <c r="B65" s="5" t="s">
        <v>180</v>
      </c>
      <c r="C65" s="5" t="s">
        <v>17</v>
      </c>
      <c r="D65" s="5" t="s">
        <v>187</v>
      </c>
      <c r="E65" s="5" t="s">
        <v>188</v>
      </c>
      <c r="F65" t="e">
        <f>_xlfn.XLOOKUP(A65,[1]邦达数据库!$A:$A,[1]邦达数据库!$C:$C)</f>
        <v>#N/A</v>
      </c>
    </row>
    <row r="66" ht="30" customHeight="1" spans="1:6">
      <c r="A66" s="2" t="s">
        <v>189</v>
      </c>
      <c r="B66" s="3" t="s">
        <v>190</v>
      </c>
      <c r="C66" s="3" t="s">
        <v>88</v>
      </c>
      <c r="D66" s="3" t="s">
        <v>191</v>
      </c>
      <c r="E66" s="3" t="s">
        <v>192</v>
      </c>
      <c r="F66" t="e">
        <f>_xlfn.XLOOKUP(A66,[1]邦达数据库!$A:$A,[1]邦达数据库!$C:$C)</f>
        <v>#N/A</v>
      </c>
    </row>
    <row r="67" ht="30" customHeight="1" spans="1:6">
      <c r="A67" s="4" t="s">
        <v>193</v>
      </c>
      <c r="B67" s="5" t="s">
        <v>190</v>
      </c>
      <c r="C67" s="5" t="s">
        <v>88</v>
      </c>
      <c r="D67" s="5" t="s">
        <v>194</v>
      </c>
      <c r="E67" s="5" t="s">
        <v>195</v>
      </c>
      <c r="F67" t="e">
        <f>_xlfn.XLOOKUP(A67,[1]邦达数据库!$A:$A,[1]邦达数据库!$C:$C)</f>
        <v>#N/A</v>
      </c>
    </row>
    <row r="68" ht="30" customHeight="1" spans="1:6">
      <c r="A68" s="2" t="s">
        <v>196</v>
      </c>
      <c r="B68" s="3" t="s">
        <v>197</v>
      </c>
      <c r="C68" s="3" t="s">
        <v>88</v>
      </c>
      <c r="D68" s="3" t="s">
        <v>198</v>
      </c>
      <c r="E68" s="3" t="s">
        <v>199</v>
      </c>
      <c r="F68" t="e">
        <f>_xlfn.XLOOKUP(A68,[1]邦达数据库!$A:$A,[1]邦达数据库!$C:$C)</f>
        <v>#N/A</v>
      </c>
    </row>
    <row r="69" ht="30" customHeight="1" spans="1:6">
      <c r="A69" s="4" t="s">
        <v>200</v>
      </c>
      <c r="B69" s="5" t="s">
        <v>190</v>
      </c>
      <c r="C69" s="5" t="s">
        <v>88</v>
      </c>
      <c r="D69" s="5" t="s">
        <v>201</v>
      </c>
      <c r="E69" s="5" t="s">
        <v>202</v>
      </c>
      <c r="F69" t="e">
        <f>_xlfn.XLOOKUP(A69,[1]邦达数据库!$A:$A,[1]邦达数据库!$C:$C)</f>
        <v>#N/A</v>
      </c>
    </row>
    <row r="70" ht="30" customHeight="1" spans="1:6">
      <c r="A70" s="2" t="s">
        <v>203</v>
      </c>
      <c r="B70" s="3" t="s">
        <v>204</v>
      </c>
      <c r="C70" s="3" t="s">
        <v>205</v>
      </c>
      <c r="D70" s="3" t="s">
        <v>206</v>
      </c>
      <c r="E70" s="3" t="s">
        <v>207</v>
      </c>
      <c r="F70" t="e">
        <f>_xlfn.XLOOKUP(A70,[1]邦达数据库!$A:$A,[1]邦达数据库!$C:$C)</f>
        <v>#N/A</v>
      </c>
    </row>
    <row r="71" ht="30" customHeight="1" spans="1:6">
      <c r="A71" s="4" t="s">
        <v>208</v>
      </c>
      <c r="B71" s="5" t="s">
        <v>209</v>
      </c>
      <c r="C71" s="5" t="s">
        <v>210</v>
      </c>
      <c r="D71" s="5" t="s">
        <v>211</v>
      </c>
      <c r="E71" s="5" t="s">
        <v>212</v>
      </c>
      <c r="F71" t="e">
        <f>_xlfn.XLOOKUP(A71,[1]邦达数据库!$A:$A,[1]邦达数据库!$C:$C)</f>
        <v>#N/A</v>
      </c>
    </row>
    <row r="72" ht="30" customHeight="1" spans="1:6">
      <c r="A72" s="2" t="s">
        <v>213</v>
      </c>
      <c r="B72" s="3" t="s">
        <v>26</v>
      </c>
      <c r="C72" s="3" t="s">
        <v>27</v>
      </c>
      <c r="D72" s="3" t="s">
        <v>28</v>
      </c>
      <c r="E72" s="3" t="s">
        <v>29</v>
      </c>
      <c r="F72" t="e">
        <f>_xlfn.XLOOKUP(A72,[1]邦达数据库!$A:$A,[1]邦达数据库!$C:$C)</f>
        <v>#N/A</v>
      </c>
    </row>
    <row r="73" ht="30" customHeight="1" spans="1:6">
      <c r="A73" s="4" t="s">
        <v>214</v>
      </c>
      <c r="B73" s="5" t="s">
        <v>215</v>
      </c>
      <c r="C73" s="5" t="s">
        <v>216</v>
      </c>
      <c r="D73" s="5" t="s">
        <v>217</v>
      </c>
      <c r="E73" s="5" t="s">
        <v>218</v>
      </c>
      <c r="F73" t="e">
        <f>_xlfn.XLOOKUP(A73,[1]邦达数据库!$A:$A,[1]邦达数据库!$C:$C)</f>
        <v>#N/A</v>
      </c>
    </row>
    <row r="74" ht="30" customHeight="1" spans="1:6">
      <c r="A74" s="2" t="s">
        <v>219</v>
      </c>
      <c r="B74" s="3" t="s">
        <v>220</v>
      </c>
      <c r="C74" s="3" t="s">
        <v>221</v>
      </c>
      <c r="D74" s="3" t="s">
        <v>170</v>
      </c>
      <c r="E74" s="3" t="s">
        <v>171</v>
      </c>
      <c r="F74" t="e">
        <f>_xlfn.XLOOKUP(A74,[1]邦达数据库!$A:$A,[1]邦达数据库!$C:$C)</f>
        <v>#N/A</v>
      </c>
    </row>
    <row r="75" ht="30" customHeight="1" spans="1:6">
      <c r="A75" s="4" t="s">
        <v>222</v>
      </c>
      <c r="B75" s="5" t="s">
        <v>220</v>
      </c>
      <c r="C75" s="5" t="s">
        <v>221</v>
      </c>
      <c r="D75" s="5" t="s">
        <v>223</v>
      </c>
      <c r="E75" s="5" t="s">
        <v>224</v>
      </c>
      <c r="F75" t="e">
        <f>_xlfn.XLOOKUP(A75,[1]邦达数据库!$A:$A,[1]邦达数据库!$C:$C)</f>
        <v>#N/A</v>
      </c>
    </row>
    <row r="76" ht="30" customHeight="1" spans="1:6">
      <c r="A76" s="2" t="s">
        <v>225</v>
      </c>
      <c r="B76" s="3" t="s">
        <v>204</v>
      </c>
      <c r="C76" s="3" t="s">
        <v>226</v>
      </c>
      <c r="D76" s="3" t="s">
        <v>227</v>
      </c>
      <c r="E76" s="3" t="s">
        <v>228</v>
      </c>
      <c r="F76" t="e">
        <f>_xlfn.XLOOKUP(A76,[1]邦达数据库!$A:$A,[1]邦达数据库!$C:$C)</f>
        <v>#N/A</v>
      </c>
    </row>
    <row r="77" ht="30" customHeight="1" spans="1:6">
      <c r="A77" s="4" t="s">
        <v>229</v>
      </c>
      <c r="B77" s="5" t="s">
        <v>230</v>
      </c>
      <c r="C77" s="5" t="s">
        <v>231</v>
      </c>
      <c r="D77" s="5" t="s">
        <v>232</v>
      </c>
      <c r="E77" s="5" t="s">
        <v>233</v>
      </c>
      <c r="F77" t="e">
        <f>_xlfn.XLOOKUP(A77,[1]邦达数据库!$A:$A,[1]邦达数据库!$C:$C)</f>
        <v>#N/A</v>
      </c>
    </row>
    <row r="78" ht="30" customHeight="1" spans="1:6">
      <c r="A78" s="2" t="s">
        <v>234</v>
      </c>
      <c r="B78" s="3" t="s">
        <v>235</v>
      </c>
      <c r="C78" s="3" t="s">
        <v>236</v>
      </c>
      <c r="D78" s="3" t="s">
        <v>237</v>
      </c>
      <c r="E78" s="3" t="s">
        <v>238</v>
      </c>
      <c r="F78" t="e">
        <f>_xlfn.XLOOKUP(A78,[1]邦达数据库!$A:$A,[1]邦达数据库!$C:$C)</f>
        <v>#N/A</v>
      </c>
    </row>
    <row r="79" ht="30" customHeight="1" spans="1:6">
      <c r="A79" s="4" t="s">
        <v>239</v>
      </c>
      <c r="B79" s="5" t="s">
        <v>235</v>
      </c>
      <c r="C79" s="5" t="s">
        <v>236</v>
      </c>
      <c r="D79" s="5" t="s">
        <v>237</v>
      </c>
      <c r="E79" s="5" t="s">
        <v>238</v>
      </c>
      <c r="F79" t="e">
        <f>_xlfn.XLOOKUP(A79,[1]邦达数据库!$A:$A,[1]邦达数据库!$C:$C)</f>
        <v>#N/A</v>
      </c>
    </row>
    <row r="80" ht="30" customHeight="1" spans="1:6">
      <c r="A80" s="2" t="s">
        <v>240</v>
      </c>
      <c r="B80" s="3" t="s">
        <v>241</v>
      </c>
      <c r="C80" s="3" t="s">
        <v>242</v>
      </c>
      <c r="D80" s="3" t="s">
        <v>243</v>
      </c>
      <c r="E80" s="3" t="s">
        <v>244</v>
      </c>
      <c r="F80" t="e">
        <f>_xlfn.XLOOKUP(A80,[1]邦达数据库!$A:$A,[1]邦达数据库!$C:$C)</f>
        <v>#N/A</v>
      </c>
    </row>
    <row r="81" ht="30" customHeight="1" spans="1:6">
      <c r="A81" s="4" t="s">
        <v>245</v>
      </c>
      <c r="B81" s="5" t="s">
        <v>241</v>
      </c>
      <c r="C81" s="5" t="s">
        <v>242</v>
      </c>
      <c r="D81" s="5" t="s">
        <v>243</v>
      </c>
      <c r="E81" s="5" t="s">
        <v>244</v>
      </c>
      <c r="F81" t="e">
        <f>_xlfn.XLOOKUP(A81,[1]邦达数据库!$A:$A,[1]邦达数据库!$C:$C)</f>
        <v>#N/A</v>
      </c>
    </row>
    <row r="82" ht="30" customHeight="1" spans="1:6">
      <c r="A82" s="2" t="s">
        <v>246</v>
      </c>
      <c r="B82" s="3" t="s">
        <v>241</v>
      </c>
      <c r="C82" s="3" t="s">
        <v>242</v>
      </c>
      <c r="D82" s="3" t="s">
        <v>243</v>
      </c>
      <c r="E82" s="3" t="s">
        <v>244</v>
      </c>
      <c r="F82" t="e">
        <f>_xlfn.XLOOKUP(A82,[1]邦达数据库!$A:$A,[1]邦达数据库!$C:$C)</f>
        <v>#N/A</v>
      </c>
    </row>
    <row r="83" ht="30" customHeight="1" spans="1:6">
      <c r="A83" s="4" t="s">
        <v>247</v>
      </c>
      <c r="B83" s="5" t="s">
        <v>248</v>
      </c>
      <c r="C83" s="5" t="s">
        <v>249</v>
      </c>
      <c r="D83" s="5" t="s">
        <v>250</v>
      </c>
      <c r="E83" s="5" t="s">
        <v>251</v>
      </c>
      <c r="F83" t="s">
        <v>252</v>
      </c>
    </row>
    <row r="84" ht="30" customHeight="1" spans="1:6">
      <c r="A84" s="2" t="s">
        <v>253</v>
      </c>
      <c r="B84" s="3" t="s">
        <v>254</v>
      </c>
      <c r="C84" s="3" t="s">
        <v>255</v>
      </c>
      <c r="D84" s="3" t="s">
        <v>256</v>
      </c>
      <c r="E84" s="3" t="s">
        <v>257</v>
      </c>
      <c r="F84">
        <f>_xlfn.XLOOKUP(A84,[1]邦达数据库!$A:$A,[1]邦达数据库!$C:$C)</f>
        <v>7308909890</v>
      </c>
    </row>
    <row r="85" ht="30" customHeight="1" spans="1:6">
      <c r="A85" s="4" t="s">
        <v>258</v>
      </c>
      <c r="B85" s="5" t="s">
        <v>259</v>
      </c>
      <c r="C85" s="5" t="s">
        <v>249</v>
      </c>
      <c r="D85" s="5" t="s">
        <v>260</v>
      </c>
      <c r="E85" s="5" t="s">
        <v>261</v>
      </c>
      <c r="F85" t="e">
        <f>_xlfn.XLOOKUP(A85,[1]邦达数据库!$A:$A,[1]邦达数据库!$C:$C)</f>
        <v>#N/A</v>
      </c>
    </row>
    <row r="86" ht="30" customHeight="1" spans="1:6">
      <c r="A86" s="2" t="s">
        <v>262</v>
      </c>
      <c r="B86" s="3" t="s">
        <v>259</v>
      </c>
      <c r="C86" s="3" t="s">
        <v>249</v>
      </c>
      <c r="D86" s="3" t="s">
        <v>260</v>
      </c>
      <c r="E86" s="3" t="s">
        <v>261</v>
      </c>
      <c r="F86" t="e">
        <f>_xlfn.XLOOKUP(A86,[1]邦达数据库!$A:$A,[1]邦达数据库!$C:$C)</f>
        <v>#N/A</v>
      </c>
    </row>
    <row r="87" ht="30" customHeight="1" spans="1:6">
      <c r="A87" s="4" t="s">
        <v>263</v>
      </c>
      <c r="B87" s="5" t="s">
        <v>259</v>
      </c>
      <c r="C87" s="5" t="s">
        <v>249</v>
      </c>
      <c r="D87" s="5" t="s">
        <v>33</v>
      </c>
      <c r="E87" s="5" t="s">
        <v>34</v>
      </c>
      <c r="F87" t="e">
        <f>_xlfn.XLOOKUP(A87,[1]邦达数据库!$A:$A,[1]邦达数据库!$C:$C)</f>
        <v>#N/A</v>
      </c>
    </row>
    <row r="88" ht="30" customHeight="1" spans="1:6">
      <c r="A88" s="2" t="s">
        <v>264</v>
      </c>
      <c r="B88" s="3" t="s">
        <v>259</v>
      </c>
      <c r="C88" s="3" t="s">
        <v>265</v>
      </c>
      <c r="D88" s="3" t="s">
        <v>266</v>
      </c>
      <c r="E88" s="3" t="s">
        <v>267</v>
      </c>
      <c r="F88" t="e">
        <f>_xlfn.XLOOKUP(A88,[1]邦达数据库!$A:$A,[1]邦达数据库!$C:$C)</f>
        <v>#N/A</v>
      </c>
    </row>
    <row r="89" ht="30" customHeight="1" spans="1:6">
      <c r="A89" s="4" t="s">
        <v>268</v>
      </c>
      <c r="B89" s="5" t="s">
        <v>269</v>
      </c>
      <c r="C89" s="5" t="s">
        <v>270</v>
      </c>
      <c r="D89" s="5" t="s">
        <v>271</v>
      </c>
      <c r="E89" s="5" t="s">
        <v>272</v>
      </c>
      <c r="F89" t="e">
        <f>_xlfn.XLOOKUP(A89,[1]邦达数据库!$A:$A,[1]邦达数据库!$C:$C)</f>
        <v>#N/A</v>
      </c>
    </row>
    <row r="90" ht="30" customHeight="1" spans="1:6">
      <c r="A90" s="2" t="s">
        <v>273</v>
      </c>
      <c r="B90" s="3" t="s">
        <v>274</v>
      </c>
      <c r="C90" s="3" t="s">
        <v>275</v>
      </c>
      <c r="D90" s="3" t="s">
        <v>276</v>
      </c>
      <c r="E90" s="3" t="s">
        <v>277</v>
      </c>
      <c r="F90" t="e">
        <f>_xlfn.XLOOKUP(A90,[1]邦达数据库!$A:$A,[1]邦达数据库!$C:$C)</f>
        <v>#N/A</v>
      </c>
    </row>
    <row r="91" ht="30" customHeight="1" spans="1:6">
      <c r="A91" s="4" t="s">
        <v>278</v>
      </c>
      <c r="B91" s="5" t="s">
        <v>274</v>
      </c>
      <c r="C91" s="5" t="s">
        <v>275</v>
      </c>
      <c r="D91" s="5" t="s">
        <v>276</v>
      </c>
      <c r="E91" s="5" t="s">
        <v>277</v>
      </c>
      <c r="F91" t="e">
        <f>_xlfn.XLOOKUP(A91,[1]邦达数据库!$A:$A,[1]邦达数据库!$C:$C)</f>
        <v>#N/A</v>
      </c>
    </row>
    <row r="92" ht="30" customHeight="1" spans="1:6">
      <c r="A92" s="2" t="s">
        <v>279</v>
      </c>
      <c r="B92" s="3" t="s">
        <v>274</v>
      </c>
      <c r="C92" s="3" t="s">
        <v>249</v>
      </c>
      <c r="D92" s="3" t="s">
        <v>280</v>
      </c>
      <c r="E92" s="3" t="s">
        <v>281</v>
      </c>
      <c r="F92" t="e">
        <f>_xlfn.XLOOKUP(A92,[1]邦达数据库!$A:$A,[1]邦达数据库!$C:$C)</f>
        <v>#N/A</v>
      </c>
    </row>
    <row r="93" ht="30" customHeight="1" spans="1:6">
      <c r="A93" s="4" t="s">
        <v>282</v>
      </c>
      <c r="B93" s="5" t="s">
        <v>283</v>
      </c>
      <c r="C93" s="5" t="s">
        <v>284</v>
      </c>
      <c r="D93" s="5" t="s">
        <v>285</v>
      </c>
      <c r="E93" s="5" t="s">
        <v>286</v>
      </c>
      <c r="F93" t="e">
        <f>_xlfn.XLOOKUP(A93,[1]邦达数据库!$A:$A,[1]邦达数据库!$C:$C)</f>
        <v>#N/A</v>
      </c>
    </row>
    <row r="94" ht="30" customHeight="1" spans="1:6">
      <c r="A94" s="2" t="s">
        <v>287</v>
      </c>
      <c r="B94" s="3" t="s">
        <v>288</v>
      </c>
      <c r="C94" s="3" t="s">
        <v>221</v>
      </c>
      <c r="D94" s="3" t="s">
        <v>124</v>
      </c>
      <c r="E94" s="3" t="s">
        <v>125</v>
      </c>
      <c r="F94" t="e">
        <f>_xlfn.XLOOKUP(A94,[1]邦达数据库!$A:$A,[1]邦达数据库!$C:$C)</f>
        <v>#N/A</v>
      </c>
    </row>
    <row r="95" ht="30" customHeight="1" spans="1:6">
      <c r="A95" s="2" t="s">
        <v>289</v>
      </c>
      <c r="B95" s="3" t="s">
        <v>290</v>
      </c>
      <c r="C95" s="3" t="s">
        <v>291</v>
      </c>
      <c r="D95" s="3" t="s">
        <v>140</v>
      </c>
      <c r="E95" s="3" t="s">
        <v>141</v>
      </c>
      <c r="F95" t="e">
        <f>_xlfn.XLOOKUP(A95,[1]邦达数据库!$A:$A,[1]邦达数据库!$C:$C)</f>
        <v>#N/A</v>
      </c>
    </row>
    <row r="96" ht="30" customHeight="1" spans="1:6">
      <c r="A96" s="4" t="s">
        <v>292</v>
      </c>
      <c r="B96" s="5" t="s">
        <v>293</v>
      </c>
      <c r="C96" s="5" t="s">
        <v>294</v>
      </c>
      <c r="D96" s="5" t="s">
        <v>295</v>
      </c>
      <c r="E96" s="5" t="s">
        <v>296</v>
      </c>
      <c r="F96" t="e">
        <f>_xlfn.XLOOKUP(A96,[1]邦达数据库!$A:$A,[1]邦达数据库!$C:$C)</f>
        <v>#N/A</v>
      </c>
    </row>
    <row r="97" ht="30" customHeight="1" spans="1:6">
      <c r="A97" s="2" t="s">
        <v>297</v>
      </c>
      <c r="B97" s="3" t="s">
        <v>293</v>
      </c>
      <c r="C97" s="3" t="s">
        <v>294</v>
      </c>
      <c r="D97" s="3" t="s">
        <v>266</v>
      </c>
      <c r="E97" s="3" t="s">
        <v>267</v>
      </c>
      <c r="F97" t="e">
        <f>_xlfn.XLOOKUP(A97,[1]邦达数据库!$A:$A,[1]邦达数据库!$C:$C)</f>
        <v>#N/A</v>
      </c>
    </row>
    <row r="98" ht="30" customHeight="1" spans="1:6">
      <c r="A98" s="4" t="s">
        <v>298</v>
      </c>
      <c r="B98" s="5" t="s">
        <v>299</v>
      </c>
      <c r="C98" s="5" t="s">
        <v>300</v>
      </c>
      <c r="D98" s="5" t="s">
        <v>301</v>
      </c>
      <c r="E98" s="5" t="s">
        <v>302</v>
      </c>
      <c r="F98" t="e">
        <f>_xlfn.XLOOKUP(A98,[1]邦达数据库!$A:$A,[1]邦达数据库!$C:$C)</f>
        <v>#N/A</v>
      </c>
    </row>
    <row r="99" ht="30" customHeight="1" spans="1:6">
      <c r="A99" s="2" t="s">
        <v>303</v>
      </c>
      <c r="B99" s="3" t="s">
        <v>304</v>
      </c>
      <c r="C99" s="3" t="s">
        <v>305</v>
      </c>
      <c r="D99" s="3" t="s">
        <v>306</v>
      </c>
      <c r="E99" s="3" t="s">
        <v>307</v>
      </c>
      <c r="F99" t="e">
        <f>_xlfn.XLOOKUP(A99,[1]邦达数据库!$A:$A,[1]邦达数据库!$C:$C)</f>
        <v>#N/A</v>
      </c>
    </row>
    <row r="100" ht="30" customHeight="1" spans="1:6">
      <c r="A100" s="4" t="s">
        <v>308</v>
      </c>
      <c r="B100" s="5" t="s">
        <v>304</v>
      </c>
      <c r="C100" s="5" t="s">
        <v>305</v>
      </c>
      <c r="D100" s="5" t="s">
        <v>309</v>
      </c>
      <c r="E100" s="5" t="s">
        <v>310</v>
      </c>
      <c r="F100" t="e">
        <f>_xlfn.XLOOKUP(A100,[1]邦达数据库!$A:$A,[1]邦达数据库!$C:$C)</f>
        <v>#N/A</v>
      </c>
    </row>
    <row r="101" ht="30" customHeight="1" spans="1:6">
      <c r="A101" s="2" t="s">
        <v>311</v>
      </c>
      <c r="B101" s="3" t="s">
        <v>312</v>
      </c>
      <c r="C101" s="3" t="s">
        <v>249</v>
      </c>
      <c r="D101" s="3" t="s">
        <v>104</v>
      </c>
      <c r="E101" s="3" t="s">
        <v>105</v>
      </c>
      <c r="F101" t="e">
        <f>_xlfn.XLOOKUP(A101,[1]邦达数据库!$A:$A,[1]邦达数据库!$C:$C)</f>
        <v>#N/A</v>
      </c>
    </row>
    <row r="102" ht="30" customHeight="1" spans="1:6">
      <c r="A102" s="4" t="s">
        <v>313</v>
      </c>
      <c r="B102" s="5" t="s">
        <v>299</v>
      </c>
      <c r="C102" s="5" t="s">
        <v>300</v>
      </c>
      <c r="D102" s="5" t="s">
        <v>314</v>
      </c>
      <c r="E102" s="5" t="s">
        <v>315</v>
      </c>
      <c r="F102" t="e">
        <f>_xlfn.XLOOKUP(A102,[1]邦达数据库!$A:$A,[1]邦达数据库!$C:$C)</f>
        <v>#N/A</v>
      </c>
    </row>
    <row r="103" ht="30" customHeight="1" spans="1:6">
      <c r="A103" s="2" t="s">
        <v>316</v>
      </c>
      <c r="B103" s="3" t="s">
        <v>317</v>
      </c>
      <c r="C103" s="3" t="s">
        <v>318</v>
      </c>
      <c r="D103" s="3" t="s">
        <v>319</v>
      </c>
      <c r="E103" s="3" t="s">
        <v>320</v>
      </c>
      <c r="F103" t="e">
        <f>_xlfn.XLOOKUP(A103,[1]邦达数据库!$A:$A,[1]邦达数据库!$C:$C)</f>
        <v>#N/A</v>
      </c>
    </row>
    <row r="104" ht="30" customHeight="1" spans="1:6">
      <c r="A104" s="4" t="s">
        <v>321</v>
      </c>
      <c r="B104" s="5" t="s">
        <v>317</v>
      </c>
      <c r="C104" s="5" t="s">
        <v>318</v>
      </c>
      <c r="D104" s="5" t="s">
        <v>319</v>
      </c>
      <c r="E104" s="5" t="s">
        <v>320</v>
      </c>
      <c r="F104" t="e">
        <f>_xlfn.XLOOKUP(A104,[1]邦达数据库!$A:$A,[1]邦达数据库!$C:$C)</f>
        <v>#N/A</v>
      </c>
    </row>
    <row r="105" ht="30" customHeight="1" spans="1:6">
      <c r="A105" s="2" t="s">
        <v>322</v>
      </c>
      <c r="B105" s="3" t="s">
        <v>317</v>
      </c>
      <c r="C105" s="3" t="s">
        <v>318</v>
      </c>
      <c r="D105" s="3" t="s">
        <v>319</v>
      </c>
      <c r="E105" s="3" t="s">
        <v>320</v>
      </c>
      <c r="F105" t="e">
        <f>_xlfn.XLOOKUP(A105,[1]邦达数据库!$A:$A,[1]邦达数据库!$C:$C)</f>
        <v>#N/A</v>
      </c>
    </row>
    <row r="106" ht="30" customHeight="1" spans="1:6">
      <c r="A106" s="4" t="s">
        <v>323</v>
      </c>
      <c r="B106" s="5" t="s">
        <v>324</v>
      </c>
      <c r="C106" s="5" t="s">
        <v>325</v>
      </c>
      <c r="D106" s="5" t="s">
        <v>326</v>
      </c>
      <c r="E106" s="5" t="s">
        <v>327</v>
      </c>
      <c r="F106" t="e">
        <f>_xlfn.XLOOKUP(A106,[1]邦达数据库!$A:$A,[1]邦达数据库!$C:$C)</f>
        <v>#N/A</v>
      </c>
    </row>
    <row r="107" ht="30" customHeight="1" spans="1:6">
      <c r="A107" s="2" t="s">
        <v>328</v>
      </c>
      <c r="B107" s="3" t="s">
        <v>329</v>
      </c>
      <c r="C107" s="3" t="s">
        <v>330</v>
      </c>
      <c r="D107" s="3" t="s">
        <v>331</v>
      </c>
      <c r="E107" s="3" t="s">
        <v>332</v>
      </c>
      <c r="F107" t="e">
        <f>_xlfn.XLOOKUP(A107,[1]邦达数据库!$A:$A,[1]邦达数据库!$C:$C)</f>
        <v>#N/A</v>
      </c>
    </row>
    <row r="108" ht="30" customHeight="1" spans="1:6">
      <c r="A108" s="4" t="s">
        <v>333</v>
      </c>
      <c r="B108" s="5" t="s">
        <v>334</v>
      </c>
      <c r="C108" s="5" t="s">
        <v>335</v>
      </c>
      <c r="D108" s="5" t="s">
        <v>336</v>
      </c>
      <c r="E108" s="5" t="s">
        <v>337</v>
      </c>
      <c r="F108" t="e">
        <f>_xlfn.XLOOKUP(A108,[1]邦达数据库!$A:$A,[1]邦达数据库!$C:$C)</f>
        <v>#N/A</v>
      </c>
    </row>
    <row r="109" ht="30" customHeight="1" spans="1:6">
      <c r="A109" s="2" t="s">
        <v>338</v>
      </c>
      <c r="B109" s="3" t="s">
        <v>339</v>
      </c>
      <c r="C109" s="3" t="s">
        <v>340</v>
      </c>
      <c r="D109" s="3" t="s">
        <v>223</v>
      </c>
      <c r="E109" s="3" t="s">
        <v>224</v>
      </c>
      <c r="F109" t="e">
        <f>_xlfn.XLOOKUP(A109,[1]邦达数据库!$A:$A,[1]邦达数据库!$C:$C)</f>
        <v>#N/A</v>
      </c>
    </row>
    <row r="110" ht="30" customHeight="1" spans="1:6">
      <c r="A110" s="4" t="s">
        <v>341</v>
      </c>
      <c r="B110" s="5" t="s">
        <v>339</v>
      </c>
      <c r="C110" s="5" t="s">
        <v>340</v>
      </c>
      <c r="D110" s="5" t="s">
        <v>170</v>
      </c>
      <c r="E110" s="5" t="s">
        <v>171</v>
      </c>
      <c r="F110" t="e">
        <f>_xlfn.XLOOKUP(A110,[1]邦达数据库!$A:$A,[1]邦达数据库!$C:$C)</f>
        <v>#N/A</v>
      </c>
    </row>
    <row r="111" ht="30" customHeight="1" spans="1:6">
      <c r="A111" s="2" t="s">
        <v>342</v>
      </c>
      <c r="B111" s="3" t="s">
        <v>339</v>
      </c>
      <c r="C111" s="3" t="s">
        <v>340</v>
      </c>
      <c r="D111" s="3" t="s">
        <v>223</v>
      </c>
      <c r="E111" s="3" t="s">
        <v>224</v>
      </c>
      <c r="F111" t="e">
        <f>_xlfn.XLOOKUP(A111,[1]邦达数据库!$A:$A,[1]邦达数据库!$C:$C)</f>
        <v>#N/A</v>
      </c>
    </row>
    <row r="112" ht="30" customHeight="1" spans="1:6">
      <c r="A112" s="4" t="s">
        <v>343</v>
      </c>
      <c r="B112" s="5" t="s">
        <v>344</v>
      </c>
      <c r="C112" s="5" t="s">
        <v>345</v>
      </c>
      <c r="D112" s="5" t="s">
        <v>346</v>
      </c>
      <c r="E112" s="5" t="s">
        <v>347</v>
      </c>
      <c r="F112" t="e">
        <f>_xlfn.XLOOKUP(A112,[1]邦达数据库!$A:$A,[1]邦达数据库!$C:$C)</f>
        <v>#N/A</v>
      </c>
    </row>
    <row r="113" ht="30" customHeight="1" spans="1:6">
      <c r="A113" s="2" t="s">
        <v>348</v>
      </c>
      <c r="B113" s="3" t="s">
        <v>349</v>
      </c>
      <c r="C113" s="3" t="s">
        <v>249</v>
      </c>
      <c r="D113" s="3" t="s">
        <v>124</v>
      </c>
      <c r="E113" s="3" t="s">
        <v>125</v>
      </c>
      <c r="F113" t="e">
        <f>_xlfn.XLOOKUP(A113,[1]邦达数据库!$A:$A,[1]邦达数据库!$C:$C)</f>
        <v>#N/A</v>
      </c>
    </row>
    <row r="114" ht="30" customHeight="1" spans="1:6">
      <c r="A114" s="4" t="s">
        <v>350</v>
      </c>
      <c r="B114" s="5" t="s">
        <v>349</v>
      </c>
      <c r="C114" s="5" t="s">
        <v>249</v>
      </c>
      <c r="D114" s="5" t="s">
        <v>351</v>
      </c>
      <c r="E114" s="5" t="s">
        <v>352</v>
      </c>
      <c r="F114" t="e">
        <f>_xlfn.XLOOKUP(A114,[1]邦达数据库!$A:$A,[1]邦达数据库!$C:$C)</f>
        <v>#N/A</v>
      </c>
    </row>
    <row r="115" ht="30" customHeight="1" spans="1:6">
      <c r="A115" s="2" t="s">
        <v>353</v>
      </c>
      <c r="B115" s="3" t="s">
        <v>349</v>
      </c>
      <c r="C115" s="3" t="s">
        <v>249</v>
      </c>
      <c r="D115" s="3" t="s">
        <v>124</v>
      </c>
      <c r="E115" s="3" t="s">
        <v>125</v>
      </c>
      <c r="F115" t="e">
        <f>_xlfn.XLOOKUP(A115,[1]邦达数据库!$A:$A,[1]邦达数据库!$C:$C)</f>
        <v>#N/A</v>
      </c>
    </row>
    <row r="116" ht="30" customHeight="1" spans="1:6">
      <c r="A116" s="4" t="s">
        <v>354</v>
      </c>
      <c r="B116" s="5" t="s">
        <v>355</v>
      </c>
      <c r="C116" s="5" t="s">
        <v>356</v>
      </c>
      <c r="D116" s="5" t="s">
        <v>357</v>
      </c>
      <c r="E116" s="5" t="s">
        <v>358</v>
      </c>
      <c r="F116" t="e">
        <f>_xlfn.XLOOKUP(A116,[1]邦达数据库!$A:$A,[1]邦达数据库!$C:$C)</f>
        <v>#N/A</v>
      </c>
    </row>
    <row r="117" ht="30" customHeight="1" spans="1:6">
      <c r="A117" s="2" t="s">
        <v>359</v>
      </c>
      <c r="B117" s="3" t="s">
        <v>355</v>
      </c>
      <c r="C117" s="3" t="s">
        <v>356</v>
      </c>
      <c r="D117" s="3" t="s">
        <v>360</v>
      </c>
      <c r="E117" s="3" t="s">
        <v>361</v>
      </c>
      <c r="F117" t="e">
        <f>_xlfn.XLOOKUP(A117,[1]邦达数据库!$A:$A,[1]邦达数据库!$C:$C)</f>
        <v>#N/A</v>
      </c>
    </row>
    <row r="118" ht="30" customHeight="1" spans="1:6">
      <c r="A118" s="4" t="s">
        <v>362</v>
      </c>
      <c r="B118" s="5" t="s">
        <v>363</v>
      </c>
      <c r="C118" s="5" t="s">
        <v>63</v>
      </c>
      <c r="D118" s="5" t="s">
        <v>364</v>
      </c>
      <c r="E118" s="5" t="s">
        <v>365</v>
      </c>
      <c r="F118" t="e">
        <f>_xlfn.XLOOKUP(A118,[1]邦达数据库!$A:$A,[1]邦达数据库!$C:$C)</f>
        <v>#N/A</v>
      </c>
    </row>
    <row r="119" ht="30" customHeight="1" spans="1:6">
      <c r="A119" s="2" t="s">
        <v>366</v>
      </c>
      <c r="B119" s="3" t="s">
        <v>363</v>
      </c>
      <c r="C119" s="3" t="s">
        <v>63</v>
      </c>
      <c r="D119" s="3" t="s">
        <v>367</v>
      </c>
      <c r="E119" s="3" t="s">
        <v>368</v>
      </c>
      <c r="F119" t="e">
        <f>_xlfn.XLOOKUP(A119,[1]邦达数据库!$A:$A,[1]邦达数据库!$C:$C)</f>
        <v>#N/A</v>
      </c>
    </row>
    <row r="120" ht="30" customHeight="1" spans="1:6">
      <c r="A120" s="4" t="s">
        <v>369</v>
      </c>
      <c r="B120" s="5" t="s">
        <v>363</v>
      </c>
      <c r="C120" s="5" t="s">
        <v>370</v>
      </c>
      <c r="D120" s="5" t="s">
        <v>367</v>
      </c>
      <c r="E120" s="5" t="s">
        <v>368</v>
      </c>
      <c r="F120" t="e">
        <f>_xlfn.XLOOKUP(A120,[1]邦达数据库!$A:$A,[1]邦达数据库!$C:$C)</f>
        <v>#N/A</v>
      </c>
    </row>
    <row r="121" ht="30" customHeight="1" spans="1:6">
      <c r="A121" s="2" t="s">
        <v>371</v>
      </c>
      <c r="B121" s="3" t="s">
        <v>372</v>
      </c>
      <c r="C121" s="3" t="s">
        <v>373</v>
      </c>
      <c r="D121" s="3" t="s">
        <v>374</v>
      </c>
      <c r="E121" s="3" t="s">
        <v>375</v>
      </c>
      <c r="F121" t="e">
        <f>_xlfn.XLOOKUP(A121,[1]邦达数据库!$A:$A,[1]邦达数据库!$C:$C)</f>
        <v>#N/A</v>
      </c>
    </row>
    <row r="122" ht="30" customHeight="1" spans="1:6">
      <c r="A122" s="4" t="s">
        <v>376</v>
      </c>
      <c r="B122" s="5" t="s">
        <v>377</v>
      </c>
      <c r="C122" s="5" t="s">
        <v>378</v>
      </c>
      <c r="D122" s="5" t="s">
        <v>379</v>
      </c>
      <c r="E122" s="5" t="s">
        <v>380</v>
      </c>
      <c r="F122" t="e">
        <f>_xlfn.XLOOKUP(A122,[1]邦达数据库!$A:$A,[1]邦达数据库!$C:$C)</f>
        <v>#N/A</v>
      </c>
    </row>
    <row r="123" ht="30" customHeight="1" spans="1:6">
      <c r="A123" s="2" t="s">
        <v>381</v>
      </c>
      <c r="B123" s="3" t="s">
        <v>377</v>
      </c>
      <c r="C123" s="3" t="s">
        <v>378</v>
      </c>
      <c r="D123" s="3" t="s">
        <v>379</v>
      </c>
      <c r="E123" s="3" t="s">
        <v>380</v>
      </c>
      <c r="F123" t="e">
        <f>_xlfn.XLOOKUP(A123,[1]邦达数据库!$A:$A,[1]邦达数据库!$C:$C)</f>
        <v>#N/A</v>
      </c>
    </row>
    <row r="124" ht="30" customHeight="1" spans="1:6">
      <c r="A124" s="4" t="s">
        <v>382</v>
      </c>
      <c r="B124" s="5" t="s">
        <v>383</v>
      </c>
      <c r="C124" s="5" t="s">
        <v>17</v>
      </c>
      <c r="D124" s="5" t="s">
        <v>260</v>
      </c>
      <c r="E124" s="5" t="s">
        <v>261</v>
      </c>
      <c r="F124" t="e">
        <f>_xlfn.XLOOKUP(A124,[1]邦达数据库!$A:$A,[1]邦达数据库!$C:$C)</f>
        <v>#N/A</v>
      </c>
    </row>
    <row r="125" ht="30" customHeight="1" spans="1:6">
      <c r="A125" s="2" t="s">
        <v>384</v>
      </c>
      <c r="B125" s="3" t="s">
        <v>383</v>
      </c>
      <c r="C125" s="3" t="s">
        <v>17</v>
      </c>
      <c r="D125" s="3" t="s">
        <v>260</v>
      </c>
      <c r="E125" s="3" t="s">
        <v>261</v>
      </c>
      <c r="F125" t="e">
        <f>_xlfn.XLOOKUP(A125,[1]邦达数据库!$A:$A,[1]邦达数据库!$C:$C)</f>
        <v>#N/A</v>
      </c>
    </row>
    <row r="126" ht="30" customHeight="1" spans="1:6">
      <c r="A126" s="4" t="s">
        <v>385</v>
      </c>
      <c r="B126" s="5" t="s">
        <v>383</v>
      </c>
      <c r="C126" s="5" t="s">
        <v>17</v>
      </c>
      <c r="D126" s="5" t="s">
        <v>386</v>
      </c>
      <c r="E126" s="5" t="s">
        <v>387</v>
      </c>
      <c r="F126" t="e">
        <f>_xlfn.XLOOKUP(A126,[1]邦达数据库!$A:$A,[1]邦达数据库!$C:$C)</f>
        <v>#N/A</v>
      </c>
    </row>
    <row r="127" ht="30" customHeight="1" spans="1:6">
      <c r="A127" s="2" t="s">
        <v>388</v>
      </c>
      <c r="B127" s="3" t="s">
        <v>383</v>
      </c>
      <c r="C127" s="3" t="s">
        <v>17</v>
      </c>
      <c r="D127" s="3" t="s">
        <v>386</v>
      </c>
      <c r="E127" s="3" t="s">
        <v>387</v>
      </c>
      <c r="F127" t="e">
        <f>_xlfn.XLOOKUP(A127,[1]邦达数据库!$A:$A,[1]邦达数据库!$C:$C)</f>
        <v>#N/A</v>
      </c>
    </row>
    <row r="128" ht="30" customHeight="1" spans="1:6">
      <c r="A128" s="4" t="s">
        <v>389</v>
      </c>
      <c r="B128" s="5" t="s">
        <v>390</v>
      </c>
      <c r="C128" s="5" t="s">
        <v>123</v>
      </c>
      <c r="D128" s="5" t="s">
        <v>391</v>
      </c>
      <c r="E128" s="5" t="s">
        <v>392</v>
      </c>
      <c r="F128" t="e">
        <f>_xlfn.XLOOKUP(A128,[1]邦达数据库!$A:$A,[1]邦达数据库!$C:$C)</f>
        <v>#N/A</v>
      </c>
    </row>
    <row r="129" ht="30" customHeight="1" spans="1:6">
      <c r="A129" s="2" t="s">
        <v>393</v>
      </c>
      <c r="B129" s="3" t="s">
        <v>394</v>
      </c>
      <c r="C129" s="3" t="s">
        <v>395</v>
      </c>
      <c r="D129" s="3" t="s">
        <v>396</v>
      </c>
      <c r="E129" s="3" t="s">
        <v>397</v>
      </c>
      <c r="F129" t="e">
        <f>_xlfn.XLOOKUP(A129,[1]邦达数据库!$A:$A,[1]邦达数据库!$C:$C)</f>
        <v>#N/A</v>
      </c>
    </row>
    <row r="130" ht="30" customHeight="1" spans="1:6">
      <c r="A130" s="4" t="s">
        <v>398</v>
      </c>
      <c r="B130" s="5" t="s">
        <v>399</v>
      </c>
      <c r="C130" s="5" t="s">
        <v>17</v>
      </c>
      <c r="D130" s="5" t="s">
        <v>400</v>
      </c>
      <c r="E130" s="5" t="s">
        <v>401</v>
      </c>
      <c r="F130" t="e">
        <f>_xlfn.XLOOKUP(A130,[1]邦达数据库!$A:$A,[1]邦达数据库!$C:$C)</f>
        <v>#N/A</v>
      </c>
    </row>
    <row r="131" ht="30" customHeight="1" spans="1:6">
      <c r="A131" s="2" t="s">
        <v>402</v>
      </c>
      <c r="B131" s="3" t="s">
        <v>403</v>
      </c>
      <c r="C131" s="3" t="s">
        <v>221</v>
      </c>
      <c r="D131" s="3" t="s">
        <v>404</v>
      </c>
      <c r="E131" s="3" t="s">
        <v>405</v>
      </c>
      <c r="F131" t="str">
        <f>_xlfn.XLOOKUP(A131,[1]邦达数据库!$A:$A,[1]邦达数据库!$C:$C)</f>
        <v>9506.91.9000</v>
      </c>
    </row>
    <row r="132" ht="30" customHeight="1" spans="1:6">
      <c r="A132" s="4" t="s">
        <v>406</v>
      </c>
      <c r="B132" s="5" t="s">
        <v>407</v>
      </c>
      <c r="C132" s="5" t="s">
        <v>123</v>
      </c>
      <c r="D132" s="5" t="s">
        <v>408</v>
      </c>
      <c r="E132" s="5" t="s">
        <v>409</v>
      </c>
      <c r="F132" t="e">
        <f>_xlfn.XLOOKUP(A132,[1]邦达数据库!$A:$A,[1]邦达数据库!$C:$C)</f>
        <v>#N/A</v>
      </c>
    </row>
    <row r="133" ht="30" customHeight="1" spans="1:6">
      <c r="A133" s="2" t="s">
        <v>410</v>
      </c>
      <c r="B133" s="3" t="s">
        <v>411</v>
      </c>
      <c r="C133" s="3" t="s">
        <v>412</v>
      </c>
      <c r="D133" s="3" t="s">
        <v>413</v>
      </c>
      <c r="E133" s="3" t="s">
        <v>414</v>
      </c>
      <c r="F133" t="e">
        <f>_xlfn.XLOOKUP(A133,[1]邦达数据库!$A:$A,[1]邦达数据库!$C:$C)</f>
        <v>#N/A</v>
      </c>
    </row>
    <row r="134" ht="30" customHeight="1" spans="1:6">
      <c r="A134" s="2" t="s">
        <v>415</v>
      </c>
      <c r="B134" s="3" t="s">
        <v>416</v>
      </c>
      <c r="C134" s="3" t="s">
        <v>242</v>
      </c>
      <c r="D134" s="3" t="s">
        <v>417</v>
      </c>
      <c r="E134" s="3" t="s">
        <v>418</v>
      </c>
      <c r="F134" t="e">
        <f>_xlfn.XLOOKUP(A134,[1]邦达数据库!$A:$A,[1]邦达数据库!$C:$C)</f>
        <v>#N/A</v>
      </c>
    </row>
    <row r="135" ht="30" customHeight="1" spans="1:6">
      <c r="A135" s="4" t="s">
        <v>419</v>
      </c>
      <c r="B135" s="5" t="s">
        <v>420</v>
      </c>
      <c r="C135" s="5" t="s">
        <v>395</v>
      </c>
      <c r="D135" s="5" t="s">
        <v>421</v>
      </c>
      <c r="E135" s="5" t="s">
        <v>422</v>
      </c>
      <c r="F135" t="e">
        <f>_xlfn.XLOOKUP(A135,[1]邦达数据库!$A:$A,[1]邦达数据库!$C:$C)</f>
        <v>#N/A</v>
      </c>
    </row>
    <row r="136" ht="30" customHeight="1" spans="1:6">
      <c r="A136" s="2" t="s">
        <v>423</v>
      </c>
      <c r="B136" s="3" t="s">
        <v>420</v>
      </c>
      <c r="C136" s="3" t="s">
        <v>395</v>
      </c>
      <c r="D136" s="3" t="s">
        <v>89</v>
      </c>
      <c r="E136" s="3" t="s">
        <v>90</v>
      </c>
      <c r="F136" t="e">
        <f>_xlfn.XLOOKUP(A136,[1]邦达数据库!$A:$A,[1]邦达数据库!$C:$C)</f>
        <v>#N/A</v>
      </c>
    </row>
    <row r="137" ht="30" customHeight="1" spans="1:6">
      <c r="A137" s="4" t="s">
        <v>424</v>
      </c>
      <c r="B137" s="5" t="s">
        <v>420</v>
      </c>
      <c r="C137" s="5" t="s">
        <v>395</v>
      </c>
      <c r="D137" s="5" t="s">
        <v>89</v>
      </c>
      <c r="E137" s="5" t="s">
        <v>90</v>
      </c>
      <c r="F137" t="e">
        <f>_xlfn.XLOOKUP(A137,[1]邦达数据库!$A:$A,[1]邦达数据库!$C:$C)</f>
        <v>#N/A</v>
      </c>
    </row>
    <row r="138" ht="30" customHeight="1" spans="1:6">
      <c r="A138" s="2" t="s">
        <v>425</v>
      </c>
      <c r="B138" s="3" t="s">
        <v>426</v>
      </c>
      <c r="C138" s="3" t="s">
        <v>427</v>
      </c>
      <c r="D138" s="3" t="s">
        <v>428</v>
      </c>
      <c r="E138" s="3" t="s">
        <v>429</v>
      </c>
      <c r="F138" t="e">
        <f>_xlfn.XLOOKUP(A138,[1]邦达数据库!$A:$A,[1]邦达数据库!$C:$C)</f>
        <v>#N/A</v>
      </c>
    </row>
    <row r="139" ht="30" customHeight="1" spans="1:6">
      <c r="A139" s="4" t="s">
        <v>430</v>
      </c>
      <c r="B139" s="5" t="s">
        <v>431</v>
      </c>
      <c r="C139" s="5" t="s">
        <v>432</v>
      </c>
      <c r="D139" s="5" t="s">
        <v>223</v>
      </c>
      <c r="E139" s="5" t="s">
        <v>224</v>
      </c>
      <c r="F139" t="e">
        <f>_xlfn.XLOOKUP(A139,[1]邦达数据库!$A:$A,[1]邦达数据库!$C:$C)</f>
        <v>#N/A</v>
      </c>
    </row>
    <row r="140" ht="30" customHeight="1" spans="1:6">
      <c r="A140" s="4" t="s">
        <v>433</v>
      </c>
      <c r="B140" s="5" t="s">
        <v>434</v>
      </c>
      <c r="C140" s="5" t="s">
        <v>435</v>
      </c>
      <c r="D140" s="5" t="s">
        <v>436</v>
      </c>
      <c r="E140" s="5" t="s">
        <v>437</v>
      </c>
      <c r="F140" t="e">
        <f>_xlfn.XLOOKUP(A140,[1]邦达数据库!$A:$A,[1]邦达数据库!$C:$C)</f>
        <v>#N/A</v>
      </c>
    </row>
    <row r="141" ht="30" customHeight="1" spans="1:6">
      <c r="A141" s="2" t="s">
        <v>438</v>
      </c>
      <c r="B141" s="3" t="s">
        <v>434</v>
      </c>
      <c r="C141" s="3" t="s">
        <v>435</v>
      </c>
      <c r="D141" s="3" t="s">
        <v>439</v>
      </c>
      <c r="E141" s="3" t="s">
        <v>440</v>
      </c>
      <c r="F141" t="e">
        <f>_xlfn.XLOOKUP(A141,[1]邦达数据库!$A:$A,[1]邦达数据库!$C:$C)</f>
        <v>#N/A</v>
      </c>
    </row>
    <row r="142" ht="30" customHeight="1" spans="1:6">
      <c r="A142" s="4" t="s">
        <v>441</v>
      </c>
      <c r="B142" s="5" t="s">
        <v>434</v>
      </c>
      <c r="C142" s="5" t="s">
        <v>435</v>
      </c>
      <c r="D142" s="5" t="s">
        <v>28</v>
      </c>
      <c r="E142" s="5" t="s">
        <v>29</v>
      </c>
      <c r="F142" t="e">
        <f>_xlfn.XLOOKUP(A142,[1]邦达数据库!$A:$A,[1]邦达数据库!$C:$C)</f>
        <v>#N/A</v>
      </c>
    </row>
    <row r="143" ht="30" customHeight="1" spans="1:6">
      <c r="A143" s="2" t="s">
        <v>442</v>
      </c>
      <c r="B143" s="3" t="s">
        <v>434</v>
      </c>
      <c r="C143" s="3" t="s">
        <v>443</v>
      </c>
      <c r="D143" s="3" t="s">
        <v>444</v>
      </c>
      <c r="E143" s="3" t="s">
        <v>445</v>
      </c>
      <c r="F143" t="e">
        <f>_xlfn.XLOOKUP(A143,[1]邦达数据库!$A:$A,[1]邦达数据库!$C:$C)</f>
        <v>#N/A</v>
      </c>
    </row>
    <row r="144" ht="30" customHeight="1" spans="1:6">
      <c r="A144" s="4" t="s">
        <v>446</v>
      </c>
      <c r="B144" s="5" t="s">
        <v>434</v>
      </c>
      <c r="C144" s="5" t="s">
        <v>443</v>
      </c>
      <c r="D144" s="5" t="s">
        <v>439</v>
      </c>
      <c r="E144" s="5" t="s">
        <v>440</v>
      </c>
      <c r="F144" t="e">
        <f>_xlfn.XLOOKUP(A144,[1]邦达数据库!$A:$A,[1]邦达数据库!$C:$C)</f>
        <v>#N/A</v>
      </c>
    </row>
    <row r="145" ht="30" customHeight="1" spans="1:6">
      <c r="A145" s="2" t="s">
        <v>447</v>
      </c>
      <c r="B145" s="3" t="s">
        <v>448</v>
      </c>
      <c r="C145" s="3" t="s">
        <v>449</v>
      </c>
      <c r="D145" s="3" t="s">
        <v>223</v>
      </c>
      <c r="E145" s="3" t="s">
        <v>224</v>
      </c>
      <c r="F145" t="e">
        <f>_xlfn.XLOOKUP(A145,[1]邦达数据库!$A:$A,[1]邦达数据库!$C:$C)</f>
        <v>#N/A</v>
      </c>
    </row>
    <row r="146" ht="30" customHeight="1" spans="1:6">
      <c r="A146" s="4" t="s">
        <v>450</v>
      </c>
      <c r="B146" s="5" t="s">
        <v>448</v>
      </c>
      <c r="C146" s="5" t="s">
        <v>449</v>
      </c>
      <c r="D146" s="5" t="s">
        <v>223</v>
      </c>
      <c r="E146" s="5" t="s">
        <v>224</v>
      </c>
      <c r="F146" t="e">
        <f>_xlfn.XLOOKUP(A146,[1]邦达数据库!$A:$A,[1]邦达数据库!$C:$C)</f>
        <v>#N/A</v>
      </c>
    </row>
    <row r="147" ht="30" customHeight="1" spans="1:6">
      <c r="A147" s="2" t="s">
        <v>451</v>
      </c>
      <c r="B147" s="3" t="s">
        <v>16</v>
      </c>
      <c r="C147" s="3" t="s">
        <v>17</v>
      </c>
      <c r="D147" s="3" t="s">
        <v>452</v>
      </c>
      <c r="E147" s="3" t="s">
        <v>453</v>
      </c>
      <c r="F147" t="e">
        <f>_xlfn.XLOOKUP(A147,[1]邦达数据库!$A:$A,[1]邦达数据库!$C:$C)</f>
        <v>#N/A</v>
      </c>
    </row>
    <row r="148" ht="30" customHeight="1" spans="1:6">
      <c r="A148" s="4" t="s">
        <v>454</v>
      </c>
      <c r="B148" s="5" t="s">
        <v>16</v>
      </c>
      <c r="C148" s="5" t="s">
        <v>17</v>
      </c>
      <c r="D148" s="5" t="s">
        <v>455</v>
      </c>
      <c r="E148" s="5" t="s">
        <v>456</v>
      </c>
      <c r="F148" t="e">
        <f>_xlfn.XLOOKUP(A148,[1]邦达数据库!$A:$A,[1]邦达数据库!$C:$C)</f>
        <v>#N/A</v>
      </c>
    </row>
    <row r="149" ht="30" customHeight="1" spans="1:6">
      <c r="A149" s="2" t="s">
        <v>457</v>
      </c>
      <c r="B149" s="3" t="s">
        <v>458</v>
      </c>
      <c r="C149" s="3" t="s">
        <v>459</v>
      </c>
      <c r="D149" s="3" t="s">
        <v>460</v>
      </c>
      <c r="E149" s="3" t="s">
        <v>461</v>
      </c>
      <c r="F149" t="e">
        <f>_xlfn.XLOOKUP(A149,[1]邦达数据库!$A:$A,[1]邦达数据库!$C:$C)</f>
        <v>#N/A</v>
      </c>
    </row>
    <row r="150" ht="30" customHeight="1" spans="1:6">
      <c r="A150" s="4" t="s">
        <v>462</v>
      </c>
      <c r="B150" s="5" t="s">
        <v>463</v>
      </c>
      <c r="C150" s="5" t="s">
        <v>464</v>
      </c>
      <c r="D150" s="5" t="s">
        <v>465</v>
      </c>
      <c r="E150" s="5" t="s">
        <v>466</v>
      </c>
      <c r="F150" t="e">
        <f>_xlfn.XLOOKUP(A150,[1]邦达数据库!$A:$A,[1]邦达数据库!$C:$C)</f>
        <v>#N/A</v>
      </c>
    </row>
    <row r="151" ht="30" customHeight="1" spans="1:6">
      <c r="A151" s="2" t="s">
        <v>467</v>
      </c>
      <c r="B151" s="3" t="s">
        <v>463</v>
      </c>
      <c r="C151" s="3" t="s">
        <v>468</v>
      </c>
      <c r="D151" s="3" t="s">
        <v>469</v>
      </c>
      <c r="E151" s="3" t="s">
        <v>470</v>
      </c>
      <c r="F151" t="e">
        <f>_xlfn.XLOOKUP(A151,[1]邦达数据库!$A:$A,[1]邦达数据库!$C:$C)</f>
        <v>#N/A</v>
      </c>
    </row>
    <row r="152" ht="30" customHeight="1" spans="1:6">
      <c r="A152" s="4" t="s">
        <v>471</v>
      </c>
      <c r="B152" s="5" t="s">
        <v>472</v>
      </c>
      <c r="C152" s="5" t="s">
        <v>473</v>
      </c>
      <c r="D152" s="5" t="s">
        <v>474</v>
      </c>
      <c r="E152" s="5" t="s">
        <v>475</v>
      </c>
      <c r="F152" t="e">
        <f>_xlfn.XLOOKUP(A152,[1]邦达数据库!$A:$A,[1]邦达数据库!$C:$C)</f>
        <v>#N/A</v>
      </c>
    </row>
    <row r="153" ht="30" customHeight="1" spans="1:6">
      <c r="A153" s="2" t="s">
        <v>476</v>
      </c>
      <c r="B153" s="3" t="s">
        <v>477</v>
      </c>
      <c r="C153" s="3" t="s">
        <v>249</v>
      </c>
      <c r="D153" s="3" t="s">
        <v>478</v>
      </c>
      <c r="E153" s="3" t="s">
        <v>479</v>
      </c>
      <c r="F153" t="e">
        <f>_xlfn.XLOOKUP(A153,[1]邦达数据库!$A:$A,[1]邦达数据库!$C:$C)</f>
        <v>#N/A</v>
      </c>
    </row>
    <row r="154" ht="30" customHeight="1" spans="1:6">
      <c r="A154" s="4" t="s">
        <v>480</v>
      </c>
      <c r="B154" s="5" t="s">
        <v>481</v>
      </c>
      <c r="C154" s="5" t="s">
        <v>123</v>
      </c>
      <c r="D154" s="5" t="s">
        <v>482</v>
      </c>
      <c r="E154" s="5" t="s">
        <v>483</v>
      </c>
      <c r="F154" t="e">
        <f>_xlfn.XLOOKUP(A154,[1]邦达数据库!$A:$A,[1]邦达数据库!$C:$C)</f>
        <v>#N/A</v>
      </c>
    </row>
    <row r="155" ht="30" customHeight="1" spans="1:6">
      <c r="A155" s="2" t="s">
        <v>484</v>
      </c>
      <c r="B155" s="3" t="s">
        <v>481</v>
      </c>
      <c r="C155" s="3" t="s">
        <v>123</v>
      </c>
      <c r="D155" s="3" t="s">
        <v>485</v>
      </c>
      <c r="E155" s="3" t="s">
        <v>486</v>
      </c>
      <c r="F155" t="e">
        <f>_xlfn.XLOOKUP(A155,[1]邦达数据库!$A:$A,[1]邦达数据库!$C:$C)</f>
        <v>#N/A</v>
      </c>
    </row>
    <row r="156" ht="30" customHeight="1" spans="1:6">
      <c r="A156" s="4" t="s">
        <v>487</v>
      </c>
      <c r="B156" s="5" t="s">
        <v>481</v>
      </c>
      <c r="C156" s="5" t="s">
        <v>123</v>
      </c>
      <c r="D156" s="5" t="s">
        <v>482</v>
      </c>
      <c r="E156" s="5" t="s">
        <v>483</v>
      </c>
      <c r="F156" t="e">
        <f>_xlfn.XLOOKUP(A156,[1]邦达数据库!$A:$A,[1]邦达数据库!$C:$C)</f>
        <v>#N/A</v>
      </c>
    </row>
    <row r="157" ht="30" customHeight="1" spans="1:6">
      <c r="A157" s="2" t="s">
        <v>488</v>
      </c>
      <c r="B157" s="3" t="s">
        <v>481</v>
      </c>
      <c r="C157" s="3" t="s">
        <v>123</v>
      </c>
      <c r="D157" s="3" t="s">
        <v>489</v>
      </c>
      <c r="E157" s="3" t="s">
        <v>490</v>
      </c>
      <c r="F157" t="e">
        <f>_xlfn.XLOOKUP(A157,[1]邦达数据库!$A:$A,[1]邦达数据库!$C:$C)</f>
        <v>#N/A</v>
      </c>
    </row>
    <row r="158" ht="30" customHeight="1" spans="1:6">
      <c r="A158" s="4" t="s">
        <v>491</v>
      </c>
      <c r="B158" s="5" t="s">
        <v>492</v>
      </c>
      <c r="C158" s="5" t="s">
        <v>123</v>
      </c>
      <c r="D158" s="5" t="s">
        <v>493</v>
      </c>
      <c r="E158" s="5" t="s">
        <v>494</v>
      </c>
      <c r="F158" t="s">
        <v>495</v>
      </c>
    </row>
    <row r="159" ht="30" customHeight="1" spans="1:6">
      <c r="A159" s="2" t="s">
        <v>496</v>
      </c>
      <c r="B159" s="3" t="s">
        <v>492</v>
      </c>
      <c r="C159" s="3" t="s">
        <v>123</v>
      </c>
      <c r="D159" s="3" t="s">
        <v>493</v>
      </c>
      <c r="E159" s="3" t="s">
        <v>494</v>
      </c>
      <c r="F159" t="s">
        <v>495</v>
      </c>
    </row>
    <row r="160" ht="30" customHeight="1" spans="1:6">
      <c r="A160" s="4" t="s">
        <v>497</v>
      </c>
      <c r="B160" s="5" t="s">
        <v>492</v>
      </c>
      <c r="C160" s="5" t="s">
        <v>123</v>
      </c>
      <c r="D160" s="5" t="s">
        <v>211</v>
      </c>
      <c r="E160" s="5" t="s">
        <v>212</v>
      </c>
      <c r="F160" t="s">
        <v>495</v>
      </c>
    </row>
    <row r="161" ht="30" customHeight="1" spans="1:6">
      <c r="A161" s="2" t="s">
        <v>498</v>
      </c>
      <c r="B161" s="3" t="s">
        <v>492</v>
      </c>
      <c r="C161" s="3" t="s">
        <v>123</v>
      </c>
      <c r="D161" s="3" t="s">
        <v>499</v>
      </c>
      <c r="E161" s="3" t="s">
        <v>500</v>
      </c>
      <c r="F161" t="s">
        <v>495</v>
      </c>
    </row>
    <row r="162" ht="30" customHeight="1" spans="1:6">
      <c r="A162" s="4" t="s">
        <v>501</v>
      </c>
      <c r="B162" s="5" t="s">
        <v>492</v>
      </c>
      <c r="C162" s="5" t="s">
        <v>123</v>
      </c>
      <c r="D162" s="5" t="s">
        <v>493</v>
      </c>
      <c r="E162" s="5" t="s">
        <v>494</v>
      </c>
      <c r="F162" t="s">
        <v>495</v>
      </c>
    </row>
    <row r="163" ht="30" customHeight="1" spans="1:6">
      <c r="A163" s="2" t="s">
        <v>502</v>
      </c>
      <c r="B163" s="3" t="s">
        <v>492</v>
      </c>
      <c r="C163" s="3" t="s">
        <v>123</v>
      </c>
      <c r="D163" s="3" t="s">
        <v>493</v>
      </c>
      <c r="E163" s="3" t="s">
        <v>494</v>
      </c>
      <c r="F163" t="s">
        <v>495</v>
      </c>
    </row>
    <row r="164" ht="30" customHeight="1" spans="1:6">
      <c r="A164" s="4" t="s">
        <v>503</v>
      </c>
      <c r="B164" s="5" t="s">
        <v>492</v>
      </c>
      <c r="C164" s="5" t="s">
        <v>123</v>
      </c>
      <c r="D164" s="5" t="s">
        <v>504</v>
      </c>
      <c r="E164" s="5" t="s">
        <v>505</v>
      </c>
      <c r="F164" t="s">
        <v>495</v>
      </c>
    </row>
    <row r="165" ht="30" customHeight="1" spans="1:6">
      <c r="A165" s="2" t="s">
        <v>506</v>
      </c>
      <c r="B165" s="3" t="s">
        <v>492</v>
      </c>
      <c r="C165" s="3" t="s">
        <v>123</v>
      </c>
      <c r="D165" s="3" t="s">
        <v>507</v>
      </c>
      <c r="E165" s="3" t="s">
        <v>508</v>
      </c>
      <c r="F165" t="e">
        <f>_xlfn.XLOOKUP(A165,[1]邦达数据库!$A:$A,[1]邦达数据库!$C:$C)</f>
        <v>#N/A</v>
      </c>
    </row>
    <row r="166" ht="30" customHeight="1" spans="1:6">
      <c r="A166" s="4" t="s">
        <v>509</v>
      </c>
      <c r="B166" s="5" t="s">
        <v>492</v>
      </c>
      <c r="C166" s="5" t="s">
        <v>123</v>
      </c>
      <c r="D166" s="5" t="s">
        <v>507</v>
      </c>
      <c r="E166" s="5" t="s">
        <v>508</v>
      </c>
      <c r="F166" t="e">
        <f>_xlfn.XLOOKUP(A166,[1]邦达数据库!$A:$A,[1]邦达数据库!$C:$C)</f>
        <v>#N/A</v>
      </c>
    </row>
    <row r="167" ht="30" customHeight="1" spans="1:6">
      <c r="A167" s="2" t="s">
        <v>510</v>
      </c>
      <c r="B167" s="3" t="s">
        <v>492</v>
      </c>
      <c r="C167" s="3" t="s">
        <v>123</v>
      </c>
      <c r="D167" s="3" t="s">
        <v>18</v>
      </c>
      <c r="E167" s="3" t="s">
        <v>19</v>
      </c>
      <c r="F167" t="s">
        <v>495</v>
      </c>
    </row>
    <row r="168" ht="30" customHeight="1" spans="1:6">
      <c r="A168" s="4" t="s">
        <v>511</v>
      </c>
      <c r="B168" s="5" t="s">
        <v>492</v>
      </c>
      <c r="C168" s="5" t="s">
        <v>123</v>
      </c>
      <c r="D168" s="5" t="s">
        <v>512</v>
      </c>
      <c r="E168" s="5" t="s">
        <v>513</v>
      </c>
      <c r="F168" t="e">
        <f>_xlfn.XLOOKUP(A168,[1]邦达数据库!$A:$A,[1]邦达数据库!$C:$C)</f>
        <v>#N/A</v>
      </c>
    </row>
    <row r="169" ht="30" customHeight="1" spans="1:6">
      <c r="A169" s="2" t="s">
        <v>514</v>
      </c>
      <c r="B169" s="3" t="s">
        <v>515</v>
      </c>
      <c r="C169" s="3" t="s">
        <v>255</v>
      </c>
      <c r="D169" s="3" t="s">
        <v>400</v>
      </c>
      <c r="E169" s="3" t="s">
        <v>401</v>
      </c>
      <c r="F169" t="e">
        <f>_xlfn.XLOOKUP(A169,[1]邦达数据库!$A:$A,[1]邦达数据库!$C:$C)</f>
        <v>#N/A</v>
      </c>
    </row>
    <row r="170" ht="30" customHeight="1" spans="1:6">
      <c r="A170" s="2" t="s">
        <v>516</v>
      </c>
      <c r="B170" s="3" t="s">
        <v>517</v>
      </c>
      <c r="C170" s="3" t="s">
        <v>46</v>
      </c>
      <c r="D170" s="3" t="s">
        <v>518</v>
      </c>
      <c r="E170" s="3" t="s">
        <v>519</v>
      </c>
      <c r="F170" t="e">
        <f>_xlfn.XLOOKUP(A170,[1]邦达数据库!$A:$A,[1]邦达数据库!$C:$C)</f>
        <v>#N/A</v>
      </c>
    </row>
    <row r="171" ht="30" customHeight="1" spans="1:6">
      <c r="A171" s="4" t="s">
        <v>520</v>
      </c>
      <c r="B171" s="5" t="s">
        <v>156</v>
      </c>
      <c r="C171" s="5" t="s">
        <v>157</v>
      </c>
      <c r="D171" s="5" t="s">
        <v>521</v>
      </c>
      <c r="E171" s="5" t="s">
        <v>522</v>
      </c>
      <c r="F171" t="e">
        <f>_xlfn.XLOOKUP(A171,[1]邦达数据库!$A:$A,[1]邦达数据库!$C:$C)</f>
        <v>#N/A</v>
      </c>
    </row>
    <row r="172" ht="30" customHeight="1" spans="1:6">
      <c r="A172" s="2" t="s">
        <v>523</v>
      </c>
      <c r="B172" s="3" t="s">
        <v>156</v>
      </c>
      <c r="C172" s="3" t="s">
        <v>157</v>
      </c>
      <c r="D172" s="3" t="s">
        <v>524</v>
      </c>
      <c r="E172" s="3" t="s">
        <v>525</v>
      </c>
      <c r="F172" t="e">
        <f>_xlfn.XLOOKUP(A172,[1]邦达数据库!$A:$A,[1]邦达数据库!$C:$C)</f>
        <v>#N/A</v>
      </c>
    </row>
    <row r="173" ht="30" customHeight="1" spans="1:6">
      <c r="A173" s="4" t="s">
        <v>526</v>
      </c>
      <c r="B173" s="5" t="s">
        <v>156</v>
      </c>
      <c r="C173" s="5" t="s">
        <v>157</v>
      </c>
      <c r="D173" s="5" t="s">
        <v>527</v>
      </c>
      <c r="E173" s="5" t="s">
        <v>528</v>
      </c>
      <c r="F173" t="e">
        <f>_xlfn.XLOOKUP(A173,[1]邦达数据库!$A:$A,[1]邦达数据库!$C:$C)</f>
        <v>#N/A</v>
      </c>
    </row>
    <row r="174" ht="30" customHeight="1" spans="1:6">
      <c r="A174" s="2" t="s">
        <v>529</v>
      </c>
      <c r="B174" s="3" t="s">
        <v>156</v>
      </c>
      <c r="C174" s="3" t="s">
        <v>157</v>
      </c>
      <c r="D174" s="3" t="s">
        <v>524</v>
      </c>
      <c r="E174" s="3" t="s">
        <v>525</v>
      </c>
      <c r="F174" t="e">
        <f>_xlfn.XLOOKUP(A174,[1]邦达数据库!$A:$A,[1]邦达数据库!$C:$C)</f>
        <v>#N/A</v>
      </c>
    </row>
    <row r="175" ht="30" customHeight="1" spans="1:6">
      <c r="A175" s="4" t="s">
        <v>530</v>
      </c>
      <c r="B175" s="5" t="s">
        <v>156</v>
      </c>
      <c r="C175" s="5" t="s">
        <v>157</v>
      </c>
      <c r="D175" s="5" t="s">
        <v>524</v>
      </c>
      <c r="E175" s="5" t="s">
        <v>525</v>
      </c>
      <c r="F175" t="e">
        <f>_xlfn.XLOOKUP(A175,[1]邦达数据库!$A:$A,[1]邦达数据库!$C:$C)</f>
        <v>#N/A</v>
      </c>
    </row>
    <row r="176" ht="30" customHeight="1" spans="1:6">
      <c r="A176" s="2" t="s">
        <v>531</v>
      </c>
      <c r="B176" s="3" t="s">
        <v>532</v>
      </c>
      <c r="C176" s="3" t="s">
        <v>221</v>
      </c>
      <c r="D176" s="3" t="s">
        <v>533</v>
      </c>
      <c r="E176" s="3" t="s">
        <v>534</v>
      </c>
      <c r="F176" t="e">
        <f>_xlfn.XLOOKUP(A176,[1]邦达数据库!$A:$A,[1]邦达数据库!$C:$C)</f>
        <v>#N/A</v>
      </c>
    </row>
    <row r="177" ht="30" customHeight="1" spans="1:6">
      <c r="A177" s="4" t="s">
        <v>535</v>
      </c>
      <c r="B177" s="5" t="s">
        <v>532</v>
      </c>
      <c r="C177" s="5" t="s">
        <v>221</v>
      </c>
      <c r="D177" s="5" t="s">
        <v>536</v>
      </c>
      <c r="E177" s="5" t="s">
        <v>537</v>
      </c>
      <c r="F177" t="e">
        <f>_xlfn.XLOOKUP(A177,[1]邦达数据库!$A:$A,[1]邦达数据库!$C:$C)</f>
        <v>#N/A</v>
      </c>
    </row>
    <row r="178" ht="30" customHeight="1" spans="1:6">
      <c r="A178" s="2" t="s">
        <v>538</v>
      </c>
      <c r="B178" s="3" t="s">
        <v>532</v>
      </c>
      <c r="C178" s="3" t="s">
        <v>221</v>
      </c>
      <c r="D178" s="3" t="s">
        <v>539</v>
      </c>
      <c r="E178" s="3" t="s">
        <v>540</v>
      </c>
      <c r="F178" t="e">
        <f>_xlfn.XLOOKUP(A178,[1]邦达数据库!$A:$A,[1]邦达数据库!$C:$C)</f>
        <v>#N/A</v>
      </c>
    </row>
    <row r="179" ht="30" customHeight="1" spans="1:6">
      <c r="A179" s="4" t="s">
        <v>541</v>
      </c>
      <c r="B179" s="5" t="s">
        <v>542</v>
      </c>
      <c r="C179" s="5" t="s">
        <v>221</v>
      </c>
      <c r="D179" s="5" t="s">
        <v>223</v>
      </c>
      <c r="E179" s="5" t="s">
        <v>224</v>
      </c>
      <c r="F179" t="e">
        <f>_xlfn.XLOOKUP(A179,[1]邦达数据库!$A:$A,[1]邦达数据库!$C:$C)</f>
        <v>#N/A</v>
      </c>
    </row>
    <row r="180" ht="30" customHeight="1" spans="1:6">
      <c r="A180" s="2" t="s">
        <v>543</v>
      </c>
      <c r="B180" s="3" t="s">
        <v>542</v>
      </c>
      <c r="C180" s="3" t="s">
        <v>221</v>
      </c>
      <c r="D180" s="3" t="s">
        <v>170</v>
      </c>
      <c r="E180" s="3" t="s">
        <v>171</v>
      </c>
      <c r="F180" t="e">
        <f>_xlfn.XLOOKUP(A180,[1]邦达数据库!$A:$A,[1]邦达数据库!$C:$C)</f>
        <v>#N/A</v>
      </c>
    </row>
    <row r="181" ht="30" customHeight="1" spans="1:6">
      <c r="A181" s="4" t="s">
        <v>544</v>
      </c>
      <c r="B181" s="5" t="s">
        <v>545</v>
      </c>
      <c r="C181" s="5" t="s">
        <v>546</v>
      </c>
      <c r="D181" s="5" t="s">
        <v>547</v>
      </c>
      <c r="E181" s="5" t="s">
        <v>548</v>
      </c>
      <c r="F181" t="e">
        <f>_xlfn.XLOOKUP(A181,[1]邦达数据库!$A:$A,[1]邦达数据库!$C:$C)</f>
        <v>#N/A</v>
      </c>
    </row>
    <row r="182" ht="30" customHeight="1" spans="1:6">
      <c r="A182" s="2" t="s">
        <v>549</v>
      </c>
      <c r="B182" s="3" t="s">
        <v>550</v>
      </c>
      <c r="C182" s="3" t="s">
        <v>17</v>
      </c>
      <c r="D182" s="3" t="s">
        <v>551</v>
      </c>
      <c r="E182" s="3" t="s">
        <v>552</v>
      </c>
      <c r="F182" t="e">
        <f>_xlfn.XLOOKUP(A182,[1]邦达数据库!$A:$A,[1]邦达数据库!$C:$C)</f>
        <v>#N/A</v>
      </c>
    </row>
    <row r="183" ht="30" customHeight="1" spans="1:6">
      <c r="A183" s="4" t="s">
        <v>553</v>
      </c>
      <c r="B183" s="5" t="s">
        <v>550</v>
      </c>
      <c r="C183" s="5" t="s">
        <v>17</v>
      </c>
      <c r="D183" s="5" t="s">
        <v>33</v>
      </c>
      <c r="E183" s="5" t="s">
        <v>34</v>
      </c>
      <c r="F183" t="e">
        <f>_xlfn.XLOOKUP(A183,[1]邦达数据库!$A:$A,[1]邦达数据库!$C:$C)</f>
        <v>#N/A</v>
      </c>
    </row>
    <row r="184" ht="30" customHeight="1" spans="1:6">
      <c r="A184" s="2" t="s">
        <v>554</v>
      </c>
      <c r="B184" s="3" t="s">
        <v>550</v>
      </c>
      <c r="C184" s="3" t="s">
        <v>17</v>
      </c>
      <c r="D184" s="3" t="s">
        <v>33</v>
      </c>
      <c r="E184" s="3" t="s">
        <v>34</v>
      </c>
      <c r="F184" t="e">
        <f>_xlfn.XLOOKUP(A184,[1]邦达数据库!$A:$A,[1]邦达数据库!$C:$C)</f>
        <v>#N/A</v>
      </c>
    </row>
    <row r="185" ht="30" customHeight="1" spans="1:6">
      <c r="A185" s="4" t="s">
        <v>555</v>
      </c>
      <c r="B185" s="5" t="s">
        <v>556</v>
      </c>
      <c r="C185" s="5" t="s">
        <v>557</v>
      </c>
      <c r="D185" s="5" t="s">
        <v>558</v>
      </c>
      <c r="E185" s="5" t="s">
        <v>559</v>
      </c>
      <c r="F185" t="e">
        <f>_xlfn.XLOOKUP(A185,[1]邦达数据库!$A:$A,[1]邦达数据库!$C:$C)</f>
        <v>#N/A</v>
      </c>
    </row>
    <row r="186" ht="30" customHeight="1" spans="1:6">
      <c r="A186" s="2" t="s">
        <v>560</v>
      </c>
      <c r="B186" s="3" t="s">
        <v>556</v>
      </c>
      <c r="C186" s="3" t="s">
        <v>557</v>
      </c>
      <c r="D186" s="3" t="s">
        <v>561</v>
      </c>
      <c r="E186" s="3" t="s">
        <v>562</v>
      </c>
      <c r="F186" t="e">
        <f>_xlfn.XLOOKUP(A186,[1]邦达数据库!$A:$A,[1]邦达数据库!$C:$C)</f>
        <v>#N/A</v>
      </c>
    </row>
    <row r="187" ht="30" customHeight="1" spans="1:6">
      <c r="A187" s="4" t="s">
        <v>563</v>
      </c>
      <c r="B187" s="5" t="s">
        <v>564</v>
      </c>
      <c r="C187" s="5" t="s">
        <v>270</v>
      </c>
      <c r="D187" s="5" t="s">
        <v>565</v>
      </c>
      <c r="E187" s="5" t="s">
        <v>566</v>
      </c>
      <c r="F187" t="e">
        <f>_xlfn.XLOOKUP(A187,[1]邦达数据库!$A:$A,[1]邦达数据库!$C:$C)</f>
        <v>#N/A</v>
      </c>
    </row>
    <row r="188" ht="30" customHeight="1" spans="1:6">
      <c r="A188" s="2" t="s">
        <v>567</v>
      </c>
      <c r="B188" s="3" t="s">
        <v>564</v>
      </c>
      <c r="C188" s="3" t="s">
        <v>270</v>
      </c>
      <c r="D188" s="3" t="s">
        <v>568</v>
      </c>
      <c r="E188" s="3" t="s">
        <v>569</v>
      </c>
      <c r="F188" t="e">
        <f>_xlfn.XLOOKUP(A188,[1]邦达数据库!$A:$A,[1]邦达数据库!$C:$C)</f>
        <v>#N/A</v>
      </c>
    </row>
    <row r="189" ht="30" customHeight="1" spans="1:6">
      <c r="A189" s="4" t="s">
        <v>570</v>
      </c>
      <c r="B189" s="5" t="s">
        <v>564</v>
      </c>
      <c r="C189" s="5" t="s">
        <v>571</v>
      </c>
      <c r="D189" s="5" t="s">
        <v>572</v>
      </c>
      <c r="E189" s="5" t="s">
        <v>573</v>
      </c>
      <c r="F189" t="e">
        <f>_xlfn.XLOOKUP(A189,[1]邦达数据库!$A:$A,[1]邦达数据库!$C:$C)</f>
        <v>#N/A</v>
      </c>
    </row>
    <row r="190" ht="30" customHeight="1" spans="1:6">
      <c r="A190" s="2" t="s">
        <v>574</v>
      </c>
      <c r="B190" s="3" t="s">
        <v>575</v>
      </c>
      <c r="C190" s="3" t="s">
        <v>17</v>
      </c>
      <c r="D190" s="3" t="s">
        <v>271</v>
      </c>
      <c r="E190" s="3" t="s">
        <v>272</v>
      </c>
      <c r="F190" t="e">
        <f>_xlfn.XLOOKUP(A190,[1]邦达数据库!$A:$A,[1]邦达数据库!$C:$C)</f>
        <v>#N/A</v>
      </c>
    </row>
    <row r="191" ht="30" customHeight="1" spans="1:6">
      <c r="A191" s="4" t="s">
        <v>576</v>
      </c>
      <c r="B191" s="5" t="s">
        <v>577</v>
      </c>
      <c r="C191" s="5" t="s">
        <v>242</v>
      </c>
      <c r="D191" s="5" t="s">
        <v>250</v>
      </c>
      <c r="E191" s="5" t="s">
        <v>251</v>
      </c>
      <c r="F191" t="e">
        <f>_xlfn.XLOOKUP(A191,[1]邦达数据库!$A:$A,[1]邦达数据库!$C:$C)</f>
        <v>#N/A</v>
      </c>
    </row>
    <row r="192" ht="30" customHeight="1" spans="1:6">
      <c r="A192" s="2" t="s">
        <v>578</v>
      </c>
      <c r="B192" s="3" t="s">
        <v>577</v>
      </c>
      <c r="C192" s="3" t="s">
        <v>242</v>
      </c>
      <c r="D192" s="3" t="s">
        <v>579</v>
      </c>
      <c r="E192" s="3" t="s">
        <v>580</v>
      </c>
      <c r="F192" t="e">
        <f>_xlfn.XLOOKUP(A192,[1]邦达数据库!$A:$A,[1]邦达数据库!$C:$C)</f>
        <v>#N/A</v>
      </c>
    </row>
    <row r="193" ht="30" customHeight="1" spans="1:6">
      <c r="A193" s="4" t="s">
        <v>581</v>
      </c>
      <c r="B193" s="5" t="s">
        <v>577</v>
      </c>
      <c r="C193" s="5" t="s">
        <v>242</v>
      </c>
      <c r="D193" s="5" t="s">
        <v>582</v>
      </c>
      <c r="E193" s="5" t="s">
        <v>583</v>
      </c>
      <c r="F193" t="e">
        <f>_xlfn.XLOOKUP(A193,[1]邦达数据库!$A:$A,[1]邦达数据库!$C:$C)</f>
        <v>#N/A</v>
      </c>
    </row>
    <row r="194" ht="30" customHeight="1" spans="1:6">
      <c r="A194" s="2" t="s">
        <v>584</v>
      </c>
      <c r="B194" s="3" t="s">
        <v>585</v>
      </c>
      <c r="C194" s="3" t="s">
        <v>586</v>
      </c>
      <c r="D194" s="3" t="s">
        <v>187</v>
      </c>
      <c r="E194" s="3" t="s">
        <v>188</v>
      </c>
      <c r="F194" t="e">
        <f>_xlfn.XLOOKUP(A194,[1]邦达数据库!$A:$A,[1]邦达数据库!$C:$C)</f>
        <v>#N/A</v>
      </c>
    </row>
    <row r="195" ht="30" customHeight="1" spans="1:6">
      <c r="A195" s="4" t="s">
        <v>587</v>
      </c>
      <c r="B195" s="5" t="s">
        <v>585</v>
      </c>
      <c r="C195" s="5" t="s">
        <v>586</v>
      </c>
      <c r="D195" s="5" t="s">
        <v>588</v>
      </c>
      <c r="E195" s="5" t="s">
        <v>589</v>
      </c>
      <c r="F195" t="e">
        <f>_xlfn.XLOOKUP(A195,[1]邦达数据库!$A:$A,[1]邦达数据库!$C:$C)</f>
        <v>#N/A</v>
      </c>
    </row>
    <row r="196" ht="30" customHeight="1" spans="1:6">
      <c r="A196" s="2" t="s">
        <v>590</v>
      </c>
      <c r="B196" s="3" t="s">
        <v>585</v>
      </c>
      <c r="C196" s="3" t="s">
        <v>586</v>
      </c>
      <c r="D196" s="3" t="s">
        <v>187</v>
      </c>
      <c r="E196" s="3" t="s">
        <v>188</v>
      </c>
      <c r="F196" t="e">
        <f>_xlfn.XLOOKUP(A196,[1]邦达数据库!$A:$A,[1]邦达数据库!$C:$C)</f>
        <v>#N/A</v>
      </c>
    </row>
    <row r="197" ht="30" customHeight="1" spans="1:6">
      <c r="A197" s="4" t="s">
        <v>591</v>
      </c>
      <c r="B197" s="5" t="s">
        <v>592</v>
      </c>
      <c r="C197" s="5" t="s">
        <v>17</v>
      </c>
      <c r="D197" s="5" t="s">
        <v>593</v>
      </c>
      <c r="E197" s="5" t="s">
        <v>594</v>
      </c>
      <c r="F197" t="e">
        <f>_xlfn.XLOOKUP(A197,[1]邦达数据库!$A:$A,[1]邦达数据库!$C:$C)</f>
        <v>#N/A</v>
      </c>
    </row>
    <row r="198" ht="30" customHeight="1" spans="1:6">
      <c r="A198" s="2" t="s">
        <v>595</v>
      </c>
      <c r="B198" s="3" t="s">
        <v>596</v>
      </c>
      <c r="C198" s="3" t="s">
        <v>597</v>
      </c>
      <c r="D198" s="3" t="s">
        <v>598</v>
      </c>
      <c r="E198" s="3" t="s">
        <v>599</v>
      </c>
      <c r="F198" t="e">
        <f>_xlfn.XLOOKUP(A198,[1]邦达数据库!$A:$A,[1]邦达数据库!$C:$C)</f>
        <v>#N/A</v>
      </c>
    </row>
    <row r="199" ht="30" customHeight="1" spans="1:6">
      <c r="A199" s="4" t="s">
        <v>600</v>
      </c>
      <c r="B199" s="5" t="s">
        <v>601</v>
      </c>
      <c r="C199" s="5" t="s">
        <v>395</v>
      </c>
      <c r="D199" s="5" t="s">
        <v>104</v>
      </c>
      <c r="E199" s="5" t="s">
        <v>105</v>
      </c>
      <c r="F199" t="e">
        <f>_xlfn.XLOOKUP(A199,[1]邦达数据库!$A:$A,[1]邦达数据库!$C:$C)</f>
        <v>#N/A</v>
      </c>
    </row>
    <row r="200" ht="30" customHeight="1" spans="1:6">
      <c r="A200" s="2" t="s">
        <v>602</v>
      </c>
      <c r="B200" s="3" t="s">
        <v>601</v>
      </c>
      <c r="C200" s="3" t="s">
        <v>395</v>
      </c>
      <c r="D200" s="3" t="s">
        <v>104</v>
      </c>
      <c r="E200" s="3" t="s">
        <v>105</v>
      </c>
      <c r="F200" t="e">
        <f>_xlfn.XLOOKUP(A200,[1]邦达数据库!$A:$A,[1]邦达数据库!$C:$C)</f>
        <v>#N/A</v>
      </c>
    </row>
    <row r="201" ht="30" customHeight="1" spans="1:6">
      <c r="A201" s="4" t="s">
        <v>603</v>
      </c>
      <c r="B201" s="5" t="s">
        <v>601</v>
      </c>
      <c r="C201" s="5" t="s">
        <v>395</v>
      </c>
      <c r="D201" s="5" t="s">
        <v>604</v>
      </c>
      <c r="E201" s="5" t="s">
        <v>605</v>
      </c>
      <c r="F201" t="e">
        <f>_xlfn.XLOOKUP(A201,[1]邦达数据库!$A:$A,[1]邦达数据库!$C:$C)</f>
        <v>#N/A</v>
      </c>
    </row>
    <row r="202" ht="30" customHeight="1" spans="1:6">
      <c r="A202" s="2" t="s">
        <v>606</v>
      </c>
      <c r="B202" s="3" t="s">
        <v>601</v>
      </c>
      <c r="C202" s="3" t="s">
        <v>395</v>
      </c>
      <c r="D202" s="3" t="s">
        <v>604</v>
      </c>
      <c r="E202" s="3" t="s">
        <v>605</v>
      </c>
      <c r="F202" t="e">
        <f>_xlfn.XLOOKUP(A202,[1]邦达数据库!$A:$A,[1]邦达数据库!$C:$C)</f>
        <v>#N/A</v>
      </c>
    </row>
    <row r="203" ht="30" customHeight="1" spans="1:6">
      <c r="A203" s="4" t="s">
        <v>607</v>
      </c>
      <c r="B203" s="5" t="s">
        <v>601</v>
      </c>
      <c r="C203" s="5" t="s">
        <v>395</v>
      </c>
      <c r="D203" s="5" t="s">
        <v>223</v>
      </c>
      <c r="E203" s="5" t="s">
        <v>224</v>
      </c>
      <c r="F203" t="e">
        <f>_xlfn.XLOOKUP(A203,[1]邦达数据库!$A:$A,[1]邦达数据库!$C:$C)</f>
        <v>#N/A</v>
      </c>
    </row>
    <row r="204" ht="30" customHeight="1" spans="1:6">
      <c r="A204" s="2" t="s">
        <v>608</v>
      </c>
      <c r="B204" s="3" t="s">
        <v>601</v>
      </c>
      <c r="C204" s="3" t="s">
        <v>395</v>
      </c>
      <c r="D204" s="3" t="s">
        <v>604</v>
      </c>
      <c r="E204" s="3" t="s">
        <v>605</v>
      </c>
      <c r="F204" t="e">
        <f>_xlfn.XLOOKUP(A204,[1]邦达数据库!$A:$A,[1]邦达数据库!$C:$C)</f>
        <v>#N/A</v>
      </c>
    </row>
    <row r="205" ht="30" customHeight="1" spans="1:6">
      <c r="A205" s="4" t="s">
        <v>609</v>
      </c>
      <c r="B205" s="5" t="s">
        <v>601</v>
      </c>
      <c r="C205" s="5" t="s">
        <v>395</v>
      </c>
      <c r="D205" s="5" t="s">
        <v>223</v>
      </c>
      <c r="E205" s="5" t="s">
        <v>224</v>
      </c>
      <c r="F205" t="e">
        <f>_xlfn.XLOOKUP(A205,[1]邦达数据库!$A:$A,[1]邦达数据库!$C:$C)</f>
        <v>#N/A</v>
      </c>
    </row>
    <row r="206" ht="30" customHeight="1" spans="1:6">
      <c r="A206" s="2" t="s">
        <v>610</v>
      </c>
      <c r="B206" s="3" t="s">
        <v>601</v>
      </c>
      <c r="C206" s="3" t="s">
        <v>395</v>
      </c>
      <c r="D206" s="3" t="s">
        <v>223</v>
      </c>
      <c r="E206" s="3" t="s">
        <v>224</v>
      </c>
      <c r="F206" t="e">
        <f>_xlfn.XLOOKUP(A206,[1]邦达数据库!$A:$A,[1]邦达数据库!$C:$C)</f>
        <v>#N/A</v>
      </c>
    </row>
    <row r="207" ht="30" customHeight="1" spans="1:6">
      <c r="A207" s="4" t="s">
        <v>611</v>
      </c>
      <c r="B207" s="5" t="s">
        <v>601</v>
      </c>
      <c r="C207" s="5" t="s">
        <v>395</v>
      </c>
      <c r="D207" s="5" t="s">
        <v>223</v>
      </c>
      <c r="E207" s="5" t="s">
        <v>224</v>
      </c>
      <c r="F207" t="e">
        <f>_xlfn.XLOOKUP(A207,[1]邦达数据库!$A:$A,[1]邦达数据库!$C:$C)</f>
        <v>#N/A</v>
      </c>
    </row>
    <row r="208" ht="30" customHeight="1" spans="1:6">
      <c r="A208" s="2" t="s">
        <v>612</v>
      </c>
      <c r="B208" s="3" t="s">
        <v>601</v>
      </c>
      <c r="C208" s="3" t="s">
        <v>395</v>
      </c>
      <c r="D208" s="3" t="s">
        <v>604</v>
      </c>
      <c r="E208" s="3" t="s">
        <v>605</v>
      </c>
      <c r="F208" t="e">
        <f>_xlfn.XLOOKUP(A208,[1]邦达数据库!$A:$A,[1]邦达数据库!$C:$C)</f>
        <v>#N/A</v>
      </c>
    </row>
    <row r="209" ht="30" customHeight="1" spans="1:6">
      <c r="A209" s="4" t="s">
        <v>613</v>
      </c>
      <c r="B209" s="5" t="s">
        <v>156</v>
      </c>
      <c r="C209" s="5" t="s">
        <v>157</v>
      </c>
      <c r="D209" s="5" t="s">
        <v>524</v>
      </c>
      <c r="E209" s="5" t="s">
        <v>525</v>
      </c>
      <c r="F209" t="e">
        <f>_xlfn.XLOOKUP(A209,[1]邦达数据库!$A:$A,[1]邦达数据库!$C:$C)</f>
        <v>#N/A</v>
      </c>
    </row>
    <row r="210" ht="30" customHeight="1" spans="1:6">
      <c r="A210" s="2" t="s">
        <v>614</v>
      </c>
      <c r="B210" s="3" t="s">
        <v>156</v>
      </c>
      <c r="C210" s="3" t="s">
        <v>157</v>
      </c>
      <c r="D210" s="3" t="s">
        <v>524</v>
      </c>
      <c r="E210" s="3" t="s">
        <v>525</v>
      </c>
      <c r="F210" t="str">
        <f>_xlfn.XLOOKUP(A210,[1]邦达数据库!$A:$A,[1]邦达数据库!$C:$C)</f>
        <v>7308.90.9890</v>
      </c>
    </row>
    <row r="211" ht="30" customHeight="1" spans="1:6">
      <c r="A211" s="4" t="s">
        <v>615</v>
      </c>
      <c r="B211" s="5" t="s">
        <v>156</v>
      </c>
      <c r="C211" s="5" t="s">
        <v>157</v>
      </c>
      <c r="D211" s="5" t="s">
        <v>524</v>
      </c>
      <c r="E211" s="5" t="s">
        <v>525</v>
      </c>
      <c r="F211" t="str">
        <f>_xlfn.XLOOKUP(A211,[1]邦达数据库!$A:$A,[1]邦达数据库!$C:$C)</f>
        <v>7308.90.9890</v>
      </c>
    </row>
    <row r="212" ht="30" customHeight="1" spans="1:6">
      <c r="A212" s="2" t="s">
        <v>616</v>
      </c>
      <c r="B212" s="3" t="s">
        <v>617</v>
      </c>
      <c r="C212" s="3" t="s">
        <v>216</v>
      </c>
      <c r="D212" s="3" t="s">
        <v>618</v>
      </c>
      <c r="E212" s="3" t="s">
        <v>619</v>
      </c>
      <c r="F212" t="str">
        <f>_xlfn.XLOOKUP(A212,[1]邦达数据库!$A:$A,[1]邦达数据库!$C:$C)</f>
        <v>7326.90.9890</v>
      </c>
    </row>
    <row r="213" ht="30" customHeight="1" spans="1:6">
      <c r="A213" s="4" t="s">
        <v>620</v>
      </c>
      <c r="B213" s="5" t="s">
        <v>617</v>
      </c>
      <c r="C213" s="5" t="s">
        <v>216</v>
      </c>
      <c r="D213" s="5" t="s">
        <v>621</v>
      </c>
      <c r="E213" s="5" t="s">
        <v>622</v>
      </c>
      <c r="F213" t="str">
        <f>_xlfn.XLOOKUP(A213,[1]邦达数据库!$A:$A,[1]邦达数据库!$C:$C)</f>
        <v>7326.90.9890</v>
      </c>
    </row>
    <row r="214" ht="30" customHeight="1" spans="1:6">
      <c r="A214" s="2" t="s">
        <v>623</v>
      </c>
      <c r="B214" s="3" t="s">
        <v>617</v>
      </c>
      <c r="C214" s="3" t="s">
        <v>216</v>
      </c>
      <c r="D214" s="3" t="s">
        <v>624</v>
      </c>
      <c r="E214" s="3" t="s">
        <v>625</v>
      </c>
      <c r="F214" t="str">
        <f>_xlfn.XLOOKUP(A214,[1]邦达数据库!$A:$A,[1]邦达数据库!$C:$C)</f>
        <v>7326.90.9890</v>
      </c>
    </row>
    <row r="215" ht="30" customHeight="1" spans="1:6">
      <c r="A215" s="4" t="s">
        <v>626</v>
      </c>
      <c r="B215" s="5" t="s">
        <v>617</v>
      </c>
      <c r="C215" s="5" t="s">
        <v>216</v>
      </c>
      <c r="D215" s="5" t="s">
        <v>627</v>
      </c>
      <c r="E215" s="5" t="s">
        <v>628</v>
      </c>
      <c r="F215" t="str">
        <f>_xlfn.XLOOKUP(A215,[1]邦达数据库!$A:$A,[1]邦达数据库!$C:$C)</f>
        <v>7326.90.9890</v>
      </c>
    </row>
    <row r="216" ht="30" customHeight="1" spans="1:6">
      <c r="A216" s="2" t="s">
        <v>629</v>
      </c>
      <c r="B216" s="3" t="s">
        <v>630</v>
      </c>
      <c r="C216" s="3" t="s">
        <v>631</v>
      </c>
      <c r="D216" s="3" t="s">
        <v>400</v>
      </c>
      <c r="E216" s="3" t="s">
        <v>401</v>
      </c>
      <c r="F216" t="str">
        <f>_xlfn.XLOOKUP(A216,[1]邦达数据库!$A:$A,[1]邦达数据库!$C:$C)</f>
        <v>7326.90.6000</v>
      </c>
    </row>
    <row r="217" ht="30" customHeight="1" spans="1:6">
      <c r="A217" s="4" t="s">
        <v>632</v>
      </c>
      <c r="B217" s="5" t="s">
        <v>633</v>
      </c>
      <c r="C217" s="5" t="s">
        <v>249</v>
      </c>
      <c r="D217" s="5" t="s">
        <v>518</v>
      </c>
      <c r="E217" s="5" t="s">
        <v>519</v>
      </c>
      <c r="F217" t="str">
        <f>_xlfn.XLOOKUP(A217,[1]邦达数据库!$A:$A,[1]邦达数据库!$C:$C)</f>
        <v>7222.40.9010</v>
      </c>
    </row>
    <row r="218" ht="30" customHeight="1" spans="1:6">
      <c r="A218" s="2" t="s">
        <v>634</v>
      </c>
      <c r="B218" s="3" t="s">
        <v>592</v>
      </c>
      <c r="C218" s="3" t="s">
        <v>17</v>
      </c>
      <c r="D218" s="3" t="s">
        <v>635</v>
      </c>
      <c r="E218" s="3" t="s">
        <v>636</v>
      </c>
      <c r="F218" t="e">
        <f>_xlfn.XLOOKUP(A218,[1]邦达数据库!$A:$A,[1]邦达数据库!$C:$C)</f>
        <v>#N/A</v>
      </c>
    </row>
    <row r="219" ht="30" customHeight="1" spans="1:6">
      <c r="A219" s="4" t="s">
        <v>637</v>
      </c>
      <c r="B219" s="5" t="s">
        <v>592</v>
      </c>
      <c r="C219" s="5" t="s">
        <v>17</v>
      </c>
      <c r="D219" s="5" t="s">
        <v>638</v>
      </c>
      <c r="E219" s="5" t="s">
        <v>639</v>
      </c>
      <c r="F219" t="e">
        <f>_xlfn.XLOOKUP(A219,[1]邦达数据库!$A:$A,[1]邦达数据库!$C:$C)</f>
        <v>#N/A</v>
      </c>
    </row>
    <row r="220" ht="30" customHeight="1" spans="1:6">
      <c r="A220" s="2" t="s">
        <v>640</v>
      </c>
      <c r="B220" s="3" t="s">
        <v>641</v>
      </c>
      <c r="C220" s="3" t="s">
        <v>275</v>
      </c>
      <c r="D220" s="3" t="s">
        <v>73</v>
      </c>
      <c r="E220" s="3" t="s">
        <v>74</v>
      </c>
      <c r="F220" t="e">
        <f>_xlfn.XLOOKUP(A220,[1]邦达数据库!$A:$A,[1]邦达数据库!$C:$C)</f>
        <v>#N/A</v>
      </c>
    </row>
    <row r="221" ht="30" customHeight="1" spans="1:6">
      <c r="A221" s="4" t="s">
        <v>642</v>
      </c>
      <c r="B221" s="5" t="s">
        <v>641</v>
      </c>
      <c r="C221" s="5" t="s">
        <v>275</v>
      </c>
      <c r="D221" s="5" t="s">
        <v>73</v>
      </c>
      <c r="E221" s="5" t="s">
        <v>74</v>
      </c>
      <c r="F221" t="e">
        <f>_xlfn.XLOOKUP(A221,[1]邦达数据库!$A:$A,[1]邦达数据库!$C:$C)</f>
        <v>#N/A</v>
      </c>
    </row>
    <row r="222" ht="30" customHeight="1" spans="1:6">
      <c r="A222" s="4" t="s">
        <v>643</v>
      </c>
      <c r="B222" s="5" t="s">
        <v>641</v>
      </c>
      <c r="C222" s="5" t="s">
        <v>275</v>
      </c>
      <c r="D222" s="5" t="s">
        <v>504</v>
      </c>
      <c r="E222" s="5" t="s">
        <v>505</v>
      </c>
      <c r="F222" t="e">
        <f>_xlfn.XLOOKUP(A222,[1]邦达数据库!$A:$A,[1]邦达数据库!$C:$C)</f>
        <v>#N/A</v>
      </c>
    </row>
    <row r="223" ht="30" customHeight="1" spans="1:6">
      <c r="A223" s="2" t="s">
        <v>644</v>
      </c>
      <c r="B223" s="3" t="s">
        <v>641</v>
      </c>
      <c r="C223" s="3" t="s">
        <v>275</v>
      </c>
      <c r="D223" s="3" t="s">
        <v>507</v>
      </c>
      <c r="E223" s="3" t="s">
        <v>508</v>
      </c>
      <c r="F223" t="e">
        <f>_xlfn.XLOOKUP(A223,[1]邦达数据库!$A:$A,[1]邦达数据库!$C:$C)</f>
        <v>#N/A</v>
      </c>
    </row>
    <row r="224" ht="30" customHeight="1" spans="1:6">
      <c r="A224" s="2" t="s">
        <v>645</v>
      </c>
      <c r="B224" s="3" t="s">
        <v>646</v>
      </c>
      <c r="C224" s="3" t="s">
        <v>148</v>
      </c>
      <c r="D224" s="3" t="s">
        <v>360</v>
      </c>
      <c r="E224" s="3" t="s">
        <v>361</v>
      </c>
      <c r="F224" t="e">
        <f>_xlfn.XLOOKUP(A224,[1]邦达数据库!$A:$A,[1]邦达数据库!$C:$C)</f>
        <v>#N/A</v>
      </c>
    </row>
    <row r="225" ht="30" customHeight="1" spans="1:6">
      <c r="A225" s="4" t="s">
        <v>647</v>
      </c>
      <c r="B225" s="5" t="s">
        <v>648</v>
      </c>
      <c r="C225" s="5" t="s">
        <v>157</v>
      </c>
      <c r="D225" s="5" t="s">
        <v>524</v>
      </c>
      <c r="E225" s="5" t="s">
        <v>525</v>
      </c>
      <c r="F225" t="e">
        <f>_xlfn.XLOOKUP(A225,[1]邦达数据库!$A:$A,[1]邦达数据库!$C:$C)</f>
        <v>#N/A</v>
      </c>
    </row>
    <row r="226" ht="30" customHeight="1" spans="1:6">
      <c r="A226" s="2" t="s">
        <v>649</v>
      </c>
      <c r="B226" s="3" t="s">
        <v>648</v>
      </c>
      <c r="C226" s="3" t="s">
        <v>157</v>
      </c>
      <c r="D226" s="3" t="s">
        <v>524</v>
      </c>
      <c r="E226" s="3" t="s">
        <v>525</v>
      </c>
      <c r="F226" t="str">
        <f>_xlfn.XLOOKUP(A226,[1]邦达数据库!$A:$A,[1]邦达数据库!$C:$C)</f>
        <v>7308.90.9890</v>
      </c>
    </row>
    <row r="227" ht="30" customHeight="1" spans="1:6">
      <c r="A227" s="4" t="s">
        <v>650</v>
      </c>
      <c r="B227" s="5" t="s">
        <v>651</v>
      </c>
      <c r="C227" s="5" t="s">
        <v>652</v>
      </c>
      <c r="D227" s="5" t="s">
        <v>79</v>
      </c>
      <c r="E227" s="5" t="s">
        <v>80</v>
      </c>
      <c r="F227" t="e">
        <f>_xlfn.XLOOKUP(A227,[1]邦达数据库!$A:$A,[1]邦达数据库!$C:$C)</f>
        <v>#N/A</v>
      </c>
    </row>
    <row r="228" ht="30" customHeight="1" spans="1:6">
      <c r="A228" s="2" t="s">
        <v>653</v>
      </c>
      <c r="B228" s="3" t="s">
        <v>651</v>
      </c>
      <c r="C228" s="3" t="s">
        <v>652</v>
      </c>
      <c r="D228" s="3" t="s">
        <v>64</v>
      </c>
      <c r="E228" s="3" t="s">
        <v>65</v>
      </c>
      <c r="F228" t="e">
        <f>_xlfn.XLOOKUP(A228,[1]邦达数据库!$A:$A,[1]邦达数据库!$C:$C)</f>
        <v>#N/A</v>
      </c>
    </row>
    <row r="229" ht="30" customHeight="1" spans="1:6">
      <c r="A229" s="4" t="s">
        <v>654</v>
      </c>
      <c r="B229" s="5" t="s">
        <v>655</v>
      </c>
      <c r="C229" s="5" t="s">
        <v>157</v>
      </c>
      <c r="D229" s="5" t="s">
        <v>524</v>
      </c>
      <c r="E229" s="5" t="s">
        <v>525</v>
      </c>
      <c r="F229" t="e">
        <f>_xlfn.XLOOKUP(A229,[1]邦达数据库!$A:$A,[1]邦达数据库!$C:$C)</f>
        <v>#N/A</v>
      </c>
    </row>
    <row r="230" ht="30" customHeight="1" spans="1:6">
      <c r="A230" s="2" t="s">
        <v>656</v>
      </c>
      <c r="B230" s="3" t="s">
        <v>655</v>
      </c>
      <c r="C230" s="3" t="s">
        <v>157</v>
      </c>
      <c r="D230" s="3" t="s">
        <v>524</v>
      </c>
      <c r="E230" s="3" t="s">
        <v>525</v>
      </c>
      <c r="F230" t="e">
        <f>_xlfn.XLOOKUP(A230,[1]邦达数据库!$A:$A,[1]邦达数据库!$C:$C)</f>
        <v>#N/A</v>
      </c>
    </row>
    <row r="231" ht="30" customHeight="1" spans="1:6">
      <c r="A231" s="4" t="s">
        <v>657</v>
      </c>
      <c r="B231" s="5" t="s">
        <v>655</v>
      </c>
      <c r="C231" s="5" t="s">
        <v>157</v>
      </c>
      <c r="D231" s="5" t="s">
        <v>524</v>
      </c>
      <c r="E231" s="5" t="s">
        <v>525</v>
      </c>
      <c r="F231" t="e">
        <f>_xlfn.XLOOKUP(A231,[1]邦达数据库!$A:$A,[1]邦达数据库!$C:$C)</f>
        <v>#N/A</v>
      </c>
    </row>
    <row r="232" ht="30" customHeight="1" spans="1:6">
      <c r="A232" s="2" t="s">
        <v>658</v>
      </c>
      <c r="B232" s="3" t="s">
        <v>655</v>
      </c>
      <c r="C232" s="3" t="s">
        <v>157</v>
      </c>
      <c r="D232" s="3" t="s">
        <v>659</v>
      </c>
      <c r="E232" s="3" t="s">
        <v>660</v>
      </c>
      <c r="F232" t="str">
        <f>_xlfn.XLOOKUP(A232,[1]邦达数据库!$A:$A,[1]邦达数据库!$C:$C)</f>
        <v>7308.90.9890</v>
      </c>
    </row>
    <row r="233" ht="30" customHeight="1" spans="1:6">
      <c r="A233" s="4" t="s">
        <v>661</v>
      </c>
      <c r="B233" s="5" t="s">
        <v>655</v>
      </c>
      <c r="C233" s="5" t="s">
        <v>157</v>
      </c>
      <c r="D233" s="5" t="s">
        <v>524</v>
      </c>
      <c r="E233" s="5" t="s">
        <v>525</v>
      </c>
      <c r="F233" t="e">
        <f>_xlfn.XLOOKUP(A233,[1]邦达数据库!$A:$A,[1]邦达数据库!$C:$C)</f>
        <v>#N/A</v>
      </c>
    </row>
    <row r="234" ht="30" customHeight="1" spans="1:6">
      <c r="A234" s="2" t="s">
        <v>662</v>
      </c>
      <c r="B234" s="3" t="s">
        <v>655</v>
      </c>
      <c r="C234" s="3" t="s">
        <v>157</v>
      </c>
      <c r="D234" s="3" t="s">
        <v>524</v>
      </c>
      <c r="E234" s="3" t="s">
        <v>525</v>
      </c>
      <c r="F234" t="str">
        <f>_xlfn.XLOOKUP(A234,[1]邦达数据库!$A:$A,[1]邦达数据库!$C:$C)</f>
        <v>7308.90.9890</v>
      </c>
    </row>
    <row r="235" ht="30" customHeight="1" spans="1:6">
      <c r="A235" s="4" t="s">
        <v>663</v>
      </c>
      <c r="B235" s="5" t="s">
        <v>655</v>
      </c>
      <c r="C235" s="5" t="s">
        <v>157</v>
      </c>
      <c r="D235" s="5" t="s">
        <v>524</v>
      </c>
      <c r="E235" s="5" t="s">
        <v>525</v>
      </c>
      <c r="F235" t="str">
        <f>_xlfn.XLOOKUP(A235,[1]邦达数据库!$A:$A,[1]邦达数据库!$C:$C)</f>
        <v>7308.90.9890</v>
      </c>
    </row>
    <row r="236" ht="30" customHeight="1" spans="1:6">
      <c r="A236" s="2" t="s">
        <v>664</v>
      </c>
      <c r="B236" s="3" t="s">
        <v>655</v>
      </c>
      <c r="C236" s="3" t="s">
        <v>157</v>
      </c>
      <c r="D236" s="3" t="s">
        <v>524</v>
      </c>
      <c r="E236" s="3" t="s">
        <v>525</v>
      </c>
      <c r="F236" t="e">
        <f>_xlfn.XLOOKUP(A236,[1]邦达数据库!$A:$A,[1]邦达数据库!$C:$C)</f>
        <v>#N/A</v>
      </c>
    </row>
    <row r="237" ht="30" customHeight="1" spans="1:6">
      <c r="A237" s="4" t="s">
        <v>665</v>
      </c>
      <c r="B237" s="5" t="s">
        <v>655</v>
      </c>
      <c r="C237" s="5" t="s">
        <v>157</v>
      </c>
      <c r="D237" s="5" t="s">
        <v>524</v>
      </c>
      <c r="E237" s="5" t="s">
        <v>525</v>
      </c>
      <c r="F237" t="e">
        <f>_xlfn.XLOOKUP(A237,[1]邦达数据库!$A:$A,[1]邦达数据库!$C:$C)</f>
        <v>#N/A</v>
      </c>
    </row>
    <row r="238" ht="30" customHeight="1" spans="1:6">
      <c r="A238" s="2" t="s">
        <v>666</v>
      </c>
      <c r="B238" s="3" t="s">
        <v>667</v>
      </c>
      <c r="C238" s="3" t="s">
        <v>668</v>
      </c>
      <c r="D238" s="3" t="s">
        <v>669</v>
      </c>
      <c r="E238" s="3" t="s">
        <v>670</v>
      </c>
      <c r="F238" t="e">
        <f>_xlfn.XLOOKUP(A238,[1]邦达数据库!$A:$A,[1]邦达数据库!$C:$C)</f>
        <v>#N/A</v>
      </c>
    </row>
    <row r="239" ht="30" customHeight="1" spans="1:6">
      <c r="A239" s="4" t="s">
        <v>671</v>
      </c>
      <c r="B239" s="5" t="s">
        <v>667</v>
      </c>
      <c r="C239" s="5" t="s">
        <v>672</v>
      </c>
      <c r="D239" s="5" t="s">
        <v>64</v>
      </c>
      <c r="E239" s="5" t="s">
        <v>65</v>
      </c>
      <c r="F239" t="e">
        <f>_xlfn.XLOOKUP(A239,[1]邦达数据库!$A:$A,[1]邦达数据库!$C:$C)</f>
        <v>#N/A</v>
      </c>
    </row>
    <row r="240" ht="30" customHeight="1" spans="1:6">
      <c r="A240" s="2" t="s">
        <v>673</v>
      </c>
      <c r="B240" s="3" t="s">
        <v>667</v>
      </c>
      <c r="C240" s="3" t="s">
        <v>672</v>
      </c>
      <c r="D240" s="3" t="s">
        <v>64</v>
      </c>
      <c r="E240" s="3" t="s">
        <v>65</v>
      </c>
      <c r="F240" t="e">
        <f>_xlfn.XLOOKUP(A240,[1]邦达数据库!$A:$A,[1]邦达数据库!$C:$C)</f>
        <v>#N/A</v>
      </c>
    </row>
    <row r="241" ht="30" customHeight="1" spans="1:6">
      <c r="A241" s="4" t="s">
        <v>674</v>
      </c>
      <c r="B241" s="5" t="s">
        <v>667</v>
      </c>
      <c r="C241" s="5" t="s">
        <v>672</v>
      </c>
      <c r="D241" s="5" t="s">
        <v>64</v>
      </c>
      <c r="E241" s="5" t="s">
        <v>65</v>
      </c>
      <c r="F241" t="e">
        <f>_xlfn.XLOOKUP(A241,[1]邦达数据库!$A:$A,[1]邦达数据库!$C:$C)</f>
        <v>#N/A</v>
      </c>
    </row>
    <row r="242" ht="30" customHeight="1" spans="1:6">
      <c r="A242" s="2" t="s">
        <v>675</v>
      </c>
      <c r="B242" s="3" t="s">
        <v>676</v>
      </c>
      <c r="C242" s="3" t="s">
        <v>157</v>
      </c>
      <c r="D242" s="3" t="s">
        <v>524</v>
      </c>
      <c r="E242" s="3" t="s">
        <v>525</v>
      </c>
      <c r="F242" t="e">
        <f>_xlfn.XLOOKUP(A242,[1]邦达数据库!$A:$A,[1]邦达数据库!$C:$C)</f>
        <v>#N/A</v>
      </c>
    </row>
    <row r="243" ht="30" customHeight="1" spans="1:6">
      <c r="A243" s="4" t="s">
        <v>677</v>
      </c>
      <c r="B243" s="5" t="s">
        <v>676</v>
      </c>
      <c r="C243" s="5" t="s">
        <v>157</v>
      </c>
      <c r="D243" s="5" t="s">
        <v>524</v>
      </c>
      <c r="E243" s="5" t="s">
        <v>525</v>
      </c>
      <c r="F243" t="str">
        <f>_xlfn.XLOOKUP(A243,[1]邦达数据库!$A:$A,[1]邦达数据库!$C:$C)</f>
        <v>7308.90.9890</v>
      </c>
    </row>
    <row r="244" ht="30" customHeight="1" spans="1:6">
      <c r="A244" s="2" t="s">
        <v>678</v>
      </c>
      <c r="B244" s="3" t="s">
        <v>679</v>
      </c>
      <c r="C244" s="3" t="s">
        <v>88</v>
      </c>
      <c r="D244" s="3" t="s">
        <v>680</v>
      </c>
      <c r="E244" s="3" t="s">
        <v>681</v>
      </c>
      <c r="F244" t="e">
        <f>_xlfn.XLOOKUP(A244,[1]邦达数据库!$A:$A,[1]邦达数据库!$C:$C)</f>
        <v>#N/A</v>
      </c>
    </row>
    <row r="245" ht="30" customHeight="1" spans="1:6">
      <c r="A245" s="4" t="s">
        <v>682</v>
      </c>
      <c r="B245" s="5" t="s">
        <v>190</v>
      </c>
      <c r="C245" s="5" t="s">
        <v>88</v>
      </c>
      <c r="D245" s="5" t="s">
        <v>680</v>
      </c>
      <c r="E245" s="5" t="s">
        <v>681</v>
      </c>
      <c r="F245" t="e">
        <f>_xlfn.XLOOKUP(A245,[1]邦达数据库!$A:$A,[1]邦达数据库!$C:$C)</f>
        <v>#N/A</v>
      </c>
    </row>
    <row r="246" ht="30" customHeight="1" spans="1:6">
      <c r="A246" s="2" t="s">
        <v>683</v>
      </c>
      <c r="B246" s="3" t="s">
        <v>684</v>
      </c>
      <c r="C246" s="3" t="s">
        <v>685</v>
      </c>
      <c r="D246" s="3" t="s">
        <v>223</v>
      </c>
      <c r="E246" s="3" t="s">
        <v>224</v>
      </c>
      <c r="F246" t="e">
        <f>_xlfn.XLOOKUP(A246,[1]邦达数据库!$A:$A,[1]邦达数据库!$C:$C)</f>
        <v>#N/A</v>
      </c>
    </row>
    <row r="247" ht="30" customHeight="1" spans="1:6">
      <c r="A247" s="4" t="s">
        <v>686</v>
      </c>
      <c r="B247" s="5" t="s">
        <v>209</v>
      </c>
      <c r="C247" s="5" t="s">
        <v>210</v>
      </c>
      <c r="D247" s="5" t="s">
        <v>687</v>
      </c>
      <c r="E247" s="5" t="s">
        <v>688</v>
      </c>
      <c r="F247" t="e">
        <f>_xlfn.XLOOKUP(A247,[1]邦达数据库!$A:$A,[1]邦达数据库!$C:$C)</f>
        <v>#N/A</v>
      </c>
    </row>
    <row r="248" ht="30" customHeight="1" spans="1:6">
      <c r="A248" s="2" t="s">
        <v>689</v>
      </c>
      <c r="B248" s="3" t="s">
        <v>209</v>
      </c>
      <c r="C248" s="3" t="s">
        <v>210</v>
      </c>
      <c r="D248" s="3" t="s">
        <v>73</v>
      </c>
      <c r="E248" s="3" t="s">
        <v>74</v>
      </c>
      <c r="F248" t="e">
        <f>_xlfn.XLOOKUP(A248,[1]邦达数据库!$A:$A,[1]邦达数据库!$C:$C)</f>
        <v>#N/A</v>
      </c>
    </row>
    <row r="249" ht="30" customHeight="1" spans="1:6">
      <c r="A249" s="4" t="s">
        <v>690</v>
      </c>
      <c r="B249" s="5" t="s">
        <v>293</v>
      </c>
      <c r="C249" s="5" t="s">
        <v>294</v>
      </c>
      <c r="D249" s="5" t="s">
        <v>691</v>
      </c>
      <c r="E249" s="5" t="s">
        <v>692</v>
      </c>
      <c r="F249" t="e">
        <f>_xlfn.XLOOKUP(A249,[1]邦达数据库!$A:$A,[1]邦达数据库!$C:$C)</f>
        <v>#N/A</v>
      </c>
    </row>
    <row r="250" ht="30" customHeight="1" spans="1:6">
      <c r="A250" s="2" t="s">
        <v>693</v>
      </c>
      <c r="B250" s="3" t="s">
        <v>293</v>
      </c>
      <c r="C250" s="3" t="s">
        <v>294</v>
      </c>
      <c r="D250" s="3" t="s">
        <v>295</v>
      </c>
      <c r="E250" s="3" t="s">
        <v>296</v>
      </c>
      <c r="F250" t="e">
        <f>_xlfn.XLOOKUP(A250,[1]邦达数据库!$A:$A,[1]邦达数据库!$C:$C)</f>
        <v>#N/A</v>
      </c>
    </row>
    <row r="251" ht="30" customHeight="1" spans="1:6">
      <c r="A251" s="4" t="s">
        <v>694</v>
      </c>
      <c r="B251" s="5" t="s">
        <v>695</v>
      </c>
      <c r="C251" s="5" t="s">
        <v>696</v>
      </c>
      <c r="D251" s="5" t="s">
        <v>223</v>
      </c>
      <c r="E251" s="5" t="s">
        <v>224</v>
      </c>
      <c r="F251" t="e">
        <f>_xlfn.XLOOKUP(A251,[1]邦达数据库!$A:$A,[1]邦达数据库!$C:$C)</f>
        <v>#N/A</v>
      </c>
    </row>
    <row r="252" ht="30" customHeight="1" spans="1:6">
      <c r="A252" s="2" t="s">
        <v>697</v>
      </c>
      <c r="B252" s="3" t="s">
        <v>698</v>
      </c>
      <c r="C252" s="3" t="s">
        <v>699</v>
      </c>
      <c r="D252" s="3" t="s">
        <v>700</v>
      </c>
      <c r="E252" s="3" t="s">
        <v>701</v>
      </c>
      <c r="F252" t="e">
        <f>_xlfn.XLOOKUP(A252,[1]邦达数据库!$A:$A,[1]邦达数据库!$C:$C)</f>
        <v>#N/A</v>
      </c>
    </row>
    <row r="253" ht="30" customHeight="1" spans="1:6">
      <c r="A253" s="4" t="s">
        <v>702</v>
      </c>
      <c r="B253" s="5" t="s">
        <v>703</v>
      </c>
      <c r="C253" s="5" t="s">
        <v>704</v>
      </c>
      <c r="D253" s="5" t="s">
        <v>181</v>
      </c>
      <c r="E253" s="5" t="s">
        <v>182</v>
      </c>
      <c r="F253" t="e">
        <f>_xlfn.XLOOKUP(A253,[1]邦达数据库!$A:$A,[1]邦达数据库!$C:$C)</f>
        <v>#N/A</v>
      </c>
    </row>
    <row r="254" ht="30" customHeight="1" spans="1:6">
      <c r="A254" s="2" t="s">
        <v>705</v>
      </c>
      <c r="B254" s="3" t="s">
        <v>706</v>
      </c>
      <c r="C254" s="3" t="s">
        <v>265</v>
      </c>
      <c r="D254" s="3" t="s">
        <v>582</v>
      </c>
      <c r="E254" s="3" t="s">
        <v>583</v>
      </c>
      <c r="F254" t="e">
        <f>_xlfn.XLOOKUP(A254,[1]邦达数据库!$A:$A,[1]邦达数据库!$C:$C)</f>
        <v>#N/A</v>
      </c>
    </row>
    <row r="255" ht="30" customHeight="1" spans="1:6">
      <c r="A255" s="4" t="s">
        <v>707</v>
      </c>
      <c r="B255" s="5" t="s">
        <v>708</v>
      </c>
      <c r="C255" s="5" t="s">
        <v>709</v>
      </c>
      <c r="D255" s="5" t="s">
        <v>64</v>
      </c>
      <c r="E255" s="5" t="s">
        <v>65</v>
      </c>
      <c r="F255" t="e">
        <f>_xlfn.XLOOKUP(A255,[1]邦达数据库!$A:$A,[1]邦达数据库!$C:$C)</f>
        <v>#N/A</v>
      </c>
    </row>
    <row r="256" ht="30" customHeight="1" spans="1:6">
      <c r="A256" s="2" t="s">
        <v>710</v>
      </c>
      <c r="B256" s="3" t="s">
        <v>708</v>
      </c>
      <c r="C256" s="3" t="s">
        <v>709</v>
      </c>
      <c r="D256" s="3" t="s">
        <v>711</v>
      </c>
      <c r="E256" s="3" t="s">
        <v>712</v>
      </c>
      <c r="F256" t="e">
        <f>_xlfn.XLOOKUP(A256,[1]邦达数据库!$A:$A,[1]邦达数据库!$C:$C)</f>
        <v>#N/A</v>
      </c>
    </row>
    <row r="257" ht="30" customHeight="1" spans="1:6">
      <c r="A257" s="4" t="s">
        <v>713</v>
      </c>
      <c r="B257" s="5" t="s">
        <v>708</v>
      </c>
      <c r="C257" s="5" t="s">
        <v>709</v>
      </c>
      <c r="D257" s="5" t="s">
        <v>711</v>
      </c>
      <c r="E257" s="5" t="s">
        <v>712</v>
      </c>
      <c r="F257" t="e">
        <f>_xlfn.XLOOKUP(A257,[1]邦达数据库!$A:$A,[1]邦达数据库!$C:$C)</f>
        <v>#N/A</v>
      </c>
    </row>
    <row r="258" ht="30" customHeight="1" spans="1:6">
      <c r="A258" s="2" t="s">
        <v>714</v>
      </c>
      <c r="B258" s="3" t="s">
        <v>715</v>
      </c>
      <c r="C258" s="3" t="s">
        <v>716</v>
      </c>
      <c r="D258" s="3" t="s">
        <v>89</v>
      </c>
      <c r="E258" s="3" t="s">
        <v>90</v>
      </c>
      <c r="F258" t="e">
        <f>_xlfn.XLOOKUP(A258,[1]邦达数据库!$A:$A,[1]邦达数据库!$C:$C)</f>
        <v>#N/A</v>
      </c>
    </row>
    <row r="259" ht="30" customHeight="1" spans="1:6">
      <c r="A259" s="4" t="s">
        <v>717</v>
      </c>
      <c r="B259" s="5" t="s">
        <v>718</v>
      </c>
      <c r="C259" s="5" t="s">
        <v>265</v>
      </c>
      <c r="D259" s="5" t="s">
        <v>719</v>
      </c>
      <c r="E259" s="5" t="s">
        <v>720</v>
      </c>
      <c r="F259" t="e">
        <f>_xlfn.XLOOKUP(A259,[1]邦达数据库!$A:$A,[1]邦达数据库!$C:$C)</f>
        <v>#N/A</v>
      </c>
    </row>
    <row r="260" ht="30" customHeight="1" spans="1:6">
      <c r="A260" s="2" t="s">
        <v>721</v>
      </c>
      <c r="B260" s="3" t="s">
        <v>722</v>
      </c>
      <c r="C260" s="3" t="s">
        <v>123</v>
      </c>
      <c r="D260" s="3" t="s">
        <v>33</v>
      </c>
      <c r="E260" s="3" t="s">
        <v>34</v>
      </c>
      <c r="F260" t="e">
        <f>_xlfn.XLOOKUP(A260,[1]邦达数据库!$A:$A,[1]邦达数据库!$C:$C)</f>
        <v>#N/A</v>
      </c>
    </row>
    <row r="261" ht="30" customHeight="1" spans="1:6">
      <c r="A261" s="4" t="s">
        <v>723</v>
      </c>
      <c r="B261" s="5" t="s">
        <v>724</v>
      </c>
      <c r="C261" s="5" t="s">
        <v>725</v>
      </c>
      <c r="D261" s="5" t="s">
        <v>726</v>
      </c>
      <c r="E261" s="5" t="s">
        <v>727</v>
      </c>
      <c r="F261" t="e">
        <f>_xlfn.XLOOKUP(A261,[1]邦达数据库!$A:$A,[1]邦达数据库!$C:$C)</f>
        <v>#N/A</v>
      </c>
    </row>
    <row r="262" ht="30" customHeight="1" spans="1:6">
      <c r="A262" s="2" t="s">
        <v>728</v>
      </c>
      <c r="B262" s="3" t="s">
        <v>724</v>
      </c>
      <c r="C262" s="3" t="s">
        <v>725</v>
      </c>
      <c r="D262" s="3" t="s">
        <v>360</v>
      </c>
      <c r="E262" s="3" t="s">
        <v>361</v>
      </c>
      <c r="F262" t="e">
        <f>_xlfn.XLOOKUP(A262,[1]邦达数据库!$A:$A,[1]邦达数据库!$C:$C)</f>
        <v>#N/A</v>
      </c>
    </row>
    <row r="263" ht="30" customHeight="1" spans="1:6">
      <c r="A263" s="4" t="s">
        <v>729</v>
      </c>
      <c r="B263" s="5" t="s">
        <v>724</v>
      </c>
      <c r="C263" s="5" t="s">
        <v>725</v>
      </c>
      <c r="D263" s="5" t="s">
        <v>404</v>
      </c>
      <c r="E263" s="5" t="s">
        <v>405</v>
      </c>
      <c r="F263" t="e">
        <f>_xlfn.XLOOKUP(A263,[1]邦达数据库!$A:$A,[1]邦达数据库!$C:$C)</f>
        <v>#N/A</v>
      </c>
    </row>
    <row r="264" ht="30" customHeight="1" spans="1:6">
      <c r="A264" s="4" t="s">
        <v>730</v>
      </c>
      <c r="B264" s="5" t="s">
        <v>731</v>
      </c>
      <c r="C264" s="5" t="s">
        <v>732</v>
      </c>
      <c r="D264" s="5" t="s">
        <v>436</v>
      </c>
      <c r="E264" s="5" t="s">
        <v>437</v>
      </c>
      <c r="F264" t="e">
        <f>_xlfn.XLOOKUP(A264,[1]邦达数据库!$A:$A,[1]邦达数据库!$C:$C)</f>
        <v>#N/A</v>
      </c>
    </row>
    <row r="265" ht="30" customHeight="1" spans="1:6">
      <c r="A265" s="2" t="s">
        <v>733</v>
      </c>
      <c r="B265" s="3" t="s">
        <v>734</v>
      </c>
      <c r="C265" s="3" t="s">
        <v>265</v>
      </c>
      <c r="D265" s="3" t="s">
        <v>735</v>
      </c>
      <c r="E265" s="3" t="s">
        <v>736</v>
      </c>
      <c r="F265" t="e">
        <f>_xlfn.XLOOKUP(A265,[1]邦达数据库!$A:$A,[1]邦达数据库!$C:$C)</f>
        <v>#N/A</v>
      </c>
    </row>
    <row r="266" ht="30" customHeight="1" spans="1:6">
      <c r="A266" s="4" t="s">
        <v>737</v>
      </c>
      <c r="B266" s="5" t="s">
        <v>734</v>
      </c>
      <c r="C266" s="5" t="s">
        <v>265</v>
      </c>
      <c r="D266" s="5" t="s">
        <v>738</v>
      </c>
      <c r="E266" s="5" t="s">
        <v>739</v>
      </c>
      <c r="F266" t="e">
        <f>_xlfn.XLOOKUP(A266,[1]邦达数据库!$A:$A,[1]邦达数据库!$C:$C)</f>
        <v>#N/A</v>
      </c>
    </row>
    <row r="267" ht="30" customHeight="1" spans="1:6">
      <c r="A267" s="2" t="s">
        <v>740</v>
      </c>
      <c r="B267" s="3" t="s">
        <v>741</v>
      </c>
      <c r="C267" s="3" t="s">
        <v>242</v>
      </c>
      <c r="D267" s="3" t="s">
        <v>742</v>
      </c>
      <c r="E267" s="3" t="s">
        <v>743</v>
      </c>
      <c r="F267" t="e">
        <f>_xlfn.XLOOKUP(A267,[1]邦达数据库!$A:$A,[1]邦达数据库!$C:$C)</f>
        <v>#N/A</v>
      </c>
    </row>
    <row r="268" ht="30" customHeight="1" spans="1:6">
      <c r="A268" s="4" t="s">
        <v>744</v>
      </c>
      <c r="B268" s="5" t="s">
        <v>416</v>
      </c>
      <c r="C268" s="5" t="s">
        <v>242</v>
      </c>
      <c r="D268" s="5" t="s">
        <v>417</v>
      </c>
      <c r="E268" s="5" t="s">
        <v>418</v>
      </c>
      <c r="F268" t="e">
        <f>_xlfn.XLOOKUP(A268,[1]邦达数据库!$A:$A,[1]邦达数据库!$C:$C)</f>
        <v>#N/A</v>
      </c>
    </row>
    <row r="269" ht="30" customHeight="1" spans="1:6">
      <c r="A269" s="2" t="s">
        <v>745</v>
      </c>
      <c r="B269" s="3" t="s">
        <v>746</v>
      </c>
      <c r="C269" s="3" t="s">
        <v>17</v>
      </c>
      <c r="D269" s="3" t="s">
        <v>621</v>
      </c>
      <c r="E269" s="3" t="s">
        <v>622</v>
      </c>
      <c r="F269" t="str">
        <f>_xlfn.XLOOKUP(A269,[1]邦达数据库!$A:$A,[1]邦达数据库!$C:$C)</f>
        <v>7610.90.9095</v>
      </c>
    </row>
    <row r="270" ht="30" customHeight="1" spans="1:6">
      <c r="A270" s="4" t="s">
        <v>747</v>
      </c>
      <c r="B270" s="5" t="s">
        <v>748</v>
      </c>
      <c r="C270" s="5" t="s">
        <v>216</v>
      </c>
      <c r="D270" s="5" t="s">
        <v>217</v>
      </c>
      <c r="E270" s="5" t="s">
        <v>218</v>
      </c>
      <c r="F270" t="e">
        <f>_xlfn.XLOOKUP(A270,[1]邦达数据库!$A:$A,[1]邦达数据库!$C:$C)</f>
        <v>#N/A</v>
      </c>
    </row>
    <row r="271" ht="30" customHeight="1" spans="1:6">
      <c r="A271" s="2" t="s">
        <v>749</v>
      </c>
      <c r="B271" s="3" t="s">
        <v>545</v>
      </c>
      <c r="C271" s="3" t="s">
        <v>546</v>
      </c>
      <c r="D271" s="3" t="s">
        <v>750</v>
      </c>
      <c r="E271" s="3" t="s">
        <v>751</v>
      </c>
      <c r="F271" t="e">
        <f>_xlfn.XLOOKUP(A271,[1]邦达数据库!$A:$A,[1]邦达数据库!$C:$C)</f>
        <v>#N/A</v>
      </c>
    </row>
    <row r="272" ht="30" customHeight="1" spans="1:6">
      <c r="A272" s="4" t="s">
        <v>752</v>
      </c>
      <c r="B272" s="5" t="s">
        <v>545</v>
      </c>
      <c r="C272" s="5" t="s">
        <v>546</v>
      </c>
      <c r="D272" s="5" t="s">
        <v>753</v>
      </c>
      <c r="E272" s="5" t="s">
        <v>754</v>
      </c>
      <c r="F272" t="e">
        <f>_xlfn.XLOOKUP(A272,[1]邦达数据库!$A:$A,[1]邦达数据库!$C:$C)</f>
        <v>#N/A</v>
      </c>
    </row>
    <row r="273" ht="30" customHeight="1" spans="1:6">
      <c r="A273" s="2" t="s">
        <v>755</v>
      </c>
      <c r="B273" s="3" t="s">
        <v>545</v>
      </c>
      <c r="C273" s="3" t="s">
        <v>546</v>
      </c>
      <c r="D273" s="3" t="s">
        <v>756</v>
      </c>
      <c r="E273" s="3" t="s">
        <v>757</v>
      </c>
      <c r="F273" t="e">
        <f>_xlfn.XLOOKUP(A273,[1]邦达数据库!$A:$A,[1]邦达数据库!$C:$C)</f>
        <v>#N/A</v>
      </c>
    </row>
    <row r="274" ht="30" customHeight="1" spans="1:6">
      <c r="A274" s="4" t="s">
        <v>758</v>
      </c>
      <c r="B274" s="5" t="s">
        <v>759</v>
      </c>
      <c r="C274" s="5" t="s">
        <v>221</v>
      </c>
      <c r="D274" s="5" t="s">
        <v>760</v>
      </c>
      <c r="E274" s="5" t="s">
        <v>761</v>
      </c>
      <c r="F274" t="e">
        <f>_xlfn.XLOOKUP(A274,[1]邦达数据库!$A:$A,[1]邦达数据库!$C:$C)</f>
        <v>#N/A</v>
      </c>
    </row>
    <row r="275" ht="30" customHeight="1" spans="1:6">
      <c r="A275" s="2" t="s">
        <v>762</v>
      </c>
      <c r="B275" s="3" t="s">
        <v>759</v>
      </c>
      <c r="C275" s="3" t="s">
        <v>221</v>
      </c>
      <c r="D275" s="3" t="s">
        <v>763</v>
      </c>
      <c r="E275" s="3" t="s">
        <v>764</v>
      </c>
      <c r="F275" t="e">
        <f>_xlfn.XLOOKUP(A275,[1]邦达数据库!$A:$A,[1]邦达数据库!$C:$C)</f>
        <v>#N/A</v>
      </c>
    </row>
    <row r="276" ht="30" customHeight="1" spans="1:6">
      <c r="A276" s="4" t="s">
        <v>765</v>
      </c>
      <c r="B276" s="5" t="s">
        <v>766</v>
      </c>
      <c r="C276" s="5" t="s">
        <v>335</v>
      </c>
      <c r="D276" s="5" t="s">
        <v>767</v>
      </c>
      <c r="E276" s="5" t="s">
        <v>768</v>
      </c>
      <c r="F276" t="e">
        <f>_xlfn.XLOOKUP(A276,[1]邦达数据库!$A:$A,[1]邦达数据库!$C:$C)</f>
        <v>#N/A</v>
      </c>
    </row>
    <row r="277" ht="30" customHeight="1" spans="1:6">
      <c r="A277" s="2" t="s">
        <v>769</v>
      </c>
      <c r="B277" s="3" t="s">
        <v>766</v>
      </c>
      <c r="C277" s="3" t="s">
        <v>335</v>
      </c>
      <c r="D277" s="3" t="s">
        <v>181</v>
      </c>
      <c r="E277" s="3" t="s">
        <v>182</v>
      </c>
      <c r="F277" t="e">
        <f>_xlfn.XLOOKUP(A277,[1]邦达数据库!$A:$A,[1]邦达数据库!$C:$C)</f>
        <v>#N/A</v>
      </c>
    </row>
    <row r="278" ht="30" customHeight="1" spans="1:6">
      <c r="A278" s="4" t="s">
        <v>770</v>
      </c>
      <c r="B278" s="5" t="s">
        <v>766</v>
      </c>
      <c r="C278" s="5" t="s">
        <v>335</v>
      </c>
      <c r="D278" s="5" t="s">
        <v>771</v>
      </c>
      <c r="E278" s="5" t="s">
        <v>772</v>
      </c>
      <c r="F278" t="e">
        <f>_xlfn.XLOOKUP(A278,[1]邦达数据库!$A:$A,[1]邦达数据库!$C:$C)</f>
        <v>#N/A</v>
      </c>
    </row>
    <row r="279" ht="30" customHeight="1" spans="1:6">
      <c r="A279" s="2" t="s">
        <v>773</v>
      </c>
      <c r="B279" s="3" t="s">
        <v>766</v>
      </c>
      <c r="C279" s="3" t="s">
        <v>335</v>
      </c>
      <c r="D279" s="3" t="s">
        <v>181</v>
      </c>
      <c r="E279" s="3" t="s">
        <v>182</v>
      </c>
      <c r="F279" t="e">
        <f>_xlfn.XLOOKUP(A279,[1]邦达数据库!$A:$A,[1]邦达数据库!$C:$C)</f>
        <v>#N/A</v>
      </c>
    </row>
    <row r="280" ht="30" customHeight="1" spans="1:6">
      <c r="A280" s="4" t="s">
        <v>774</v>
      </c>
      <c r="B280" s="5" t="s">
        <v>775</v>
      </c>
      <c r="C280" s="5" t="s">
        <v>17</v>
      </c>
      <c r="D280" s="5" t="s">
        <v>776</v>
      </c>
      <c r="E280" s="5" t="s">
        <v>777</v>
      </c>
      <c r="F280" t="e">
        <f>_xlfn.XLOOKUP(A280,[1]邦达数据库!$A:$A,[1]邦达数据库!$C:$C)</f>
        <v>#N/A</v>
      </c>
    </row>
    <row r="281" ht="30" customHeight="1" spans="1:6">
      <c r="A281" s="2" t="s">
        <v>778</v>
      </c>
      <c r="B281" s="3" t="s">
        <v>775</v>
      </c>
      <c r="C281" s="3" t="s">
        <v>17</v>
      </c>
      <c r="D281" s="3" t="s">
        <v>776</v>
      </c>
      <c r="E281" s="3" t="s">
        <v>777</v>
      </c>
      <c r="F281" t="e">
        <f>_xlfn.XLOOKUP(A281,[1]邦达数据库!$A:$A,[1]邦达数据库!$C:$C)</f>
        <v>#N/A</v>
      </c>
    </row>
    <row r="282" ht="30" customHeight="1" spans="1:6">
      <c r="A282" s="4" t="s">
        <v>779</v>
      </c>
      <c r="B282" s="5" t="s">
        <v>775</v>
      </c>
      <c r="C282" s="5" t="s">
        <v>17</v>
      </c>
      <c r="D282" s="5" t="s">
        <v>776</v>
      </c>
      <c r="E282" s="5" t="s">
        <v>777</v>
      </c>
      <c r="F282" t="e">
        <f>_xlfn.XLOOKUP(A282,[1]邦达数据库!$A:$A,[1]邦达数据库!$C:$C)</f>
        <v>#N/A</v>
      </c>
    </row>
    <row r="283" ht="30" customHeight="1" spans="1:6">
      <c r="A283" s="2" t="s">
        <v>780</v>
      </c>
      <c r="B283" s="3" t="s">
        <v>775</v>
      </c>
      <c r="C283" s="3" t="s">
        <v>17</v>
      </c>
      <c r="D283" s="3" t="s">
        <v>776</v>
      </c>
      <c r="E283" s="3" t="s">
        <v>777</v>
      </c>
      <c r="F283" t="e">
        <f>_xlfn.XLOOKUP(A283,[1]邦达数据库!$A:$A,[1]邦达数据库!$C:$C)</f>
        <v>#N/A</v>
      </c>
    </row>
    <row r="284" ht="30" customHeight="1" spans="1:6">
      <c r="A284" s="4" t="s">
        <v>781</v>
      </c>
      <c r="B284" s="5" t="s">
        <v>775</v>
      </c>
      <c r="C284" s="5" t="s">
        <v>17</v>
      </c>
      <c r="D284" s="5" t="s">
        <v>776</v>
      </c>
      <c r="E284" s="5" t="s">
        <v>777</v>
      </c>
      <c r="F284" t="e">
        <f>_xlfn.XLOOKUP(A284,[1]邦达数据库!$A:$A,[1]邦达数据库!$C:$C)</f>
        <v>#N/A</v>
      </c>
    </row>
    <row r="285" ht="30" customHeight="1" spans="1:6">
      <c r="A285" s="2" t="s">
        <v>782</v>
      </c>
      <c r="B285" s="3" t="s">
        <v>783</v>
      </c>
      <c r="C285" s="3" t="s">
        <v>784</v>
      </c>
      <c r="D285" s="3" t="s">
        <v>785</v>
      </c>
      <c r="E285" s="3" t="s">
        <v>786</v>
      </c>
      <c r="F285" t="e">
        <f>_xlfn.XLOOKUP(A285,[1]邦达数据库!$A:$A,[1]邦达数据库!$C:$C)</f>
        <v>#N/A</v>
      </c>
    </row>
    <row r="286" ht="30" customHeight="1" spans="1:6">
      <c r="A286" s="4" t="s">
        <v>787</v>
      </c>
      <c r="B286" s="5" t="s">
        <v>783</v>
      </c>
      <c r="C286" s="5" t="s">
        <v>784</v>
      </c>
      <c r="D286" s="5" t="s">
        <v>785</v>
      </c>
      <c r="E286" s="5" t="s">
        <v>786</v>
      </c>
      <c r="F286" t="e">
        <f>_xlfn.XLOOKUP(A286,[1]邦达数据库!$A:$A,[1]邦达数据库!$C:$C)</f>
        <v>#N/A</v>
      </c>
    </row>
    <row r="287" ht="30" customHeight="1" spans="1:6">
      <c r="A287" s="2" t="s">
        <v>788</v>
      </c>
      <c r="B287" s="3" t="s">
        <v>783</v>
      </c>
      <c r="C287" s="3" t="s">
        <v>784</v>
      </c>
      <c r="D287" s="3" t="s">
        <v>785</v>
      </c>
      <c r="E287" s="3" t="s">
        <v>786</v>
      </c>
      <c r="F287" t="e">
        <f>_xlfn.XLOOKUP(A287,[1]邦达数据库!$A:$A,[1]邦达数据库!$C:$C)</f>
        <v>#N/A</v>
      </c>
    </row>
    <row r="288" ht="30" customHeight="1" spans="1:6">
      <c r="A288" s="4" t="s">
        <v>789</v>
      </c>
      <c r="B288" s="5" t="s">
        <v>790</v>
      </c>
      <c r="C288" s="5" t="s">
        <v>791</v>
      </c>
      <c r="D288" s="5" t="s">
        <v>400</v>
      </c>
      <c r="E288" s="5" t="s">
        <v>401</v>
      </c>
      <c r="F288" t="e">
        <f>_xlfn.XLOOKUP(A288,[1]邦达数据库!$A:$A,[1]邦达数据库!$C:$C)</f>
        <v>#N/A</v>
      </c>
    </row>
    <row r="289" ht="30" customHeight="1" spans="1:6">
      <c r="A289" s="2" t="s">
        <v>792</v>
      </c>
      <c r="B289" s="3" t="s">
        <v>793</v>
      </c>
      <c r="C289" s="3" t="s">
        <v>17</v>
      </c>
      <c r="D289" s="3" t="s">
        <v>794</v>
      </c>
      <c r="E289" s="3" t="s">
        <v>795</v>
      </c>
      <c r="F289" t="e">
        <f>_xlfn.XLOOKUP(A289,[1]邦达数据库!$A:$A,[1]邦达数据库!$C:$C)</f>
        <v>#N/A</v>
      </c>
    </row>
    <row r="290" ht="30" customHeight="1" spans="1:6">
      <c r="A290" s="4" t="s">
        <v>796</v>
      </c>
      <c r="B290" s="5" t="s">
        <v>797</v>
      </c>
      <c r="C290" s="5" t="s">
        <v>798</v>
      </c>
      <c r="D290" s="5" t="s">
        <v>799</v>
      </c>
      <c r="E290" s="5" t="s">
        <v>800</v>
      </c>
      <c r="F290" t="e">
        <f>_xlfn.XLOOKUP(A290,[1]邦达数据库!$A:$A,[1]邦达数据库!$C:$C)</f>
        <v>#N/A</v>
      </c>
    </row>
    <row r="291" ht="30" customHeight="1" spans="1:6">
      <c r="A291" s="2" t="s">
        <v>801</v>
      </c>
      <c r="B291" s="3" t="s">
        <v>802</v>
      </c>
      <c r="C291" s="3" t="s">
        <v>803</v>
      </c>
      <c r="D291" s="3" t="s">
        <v>804</v>
      </c>
      <c r="E291" s="3" t="s">
        <v>805</v>
      </c>
      <c r="F291" t="e">
        <f>_xlfn.XLOOKUP(A291,[1]邦达数据库!$A:$A,[1]邦达数据库!$C:$C)</f>
        <v>#N/A</v>
      </c>
    </row>
    <row r="292" ht="30" customHeight="1" spans="1:6">
      <c r="A292" s="4" t="s">
        <v>806</v>
      </c>
      <c r="B292" s="5" t="s">
        <v>807</v>
      </c>
      <c r="C292" s="5" t="s">
        <v>808</v>
      </c>
      <c r="D292" s="5" t="s">
        <v>417</v>
      </c>
      <c r="E292" s="5" t="s">
        <v>418</v>
      </c>
      <c r="F292" t="e">
        <f>_xlfn.XLOOKUP(A292,[1]邦达数据库!$A:$A,[1]邦达数据库!$C:$C)</f>
        <v>#N/A</v>
      </c>
    </row>
    <row r="293" ht="30" customHeight="1" spans="1:6">
      <c r="A293" s="2" t="s">
        <v>809</v>
      </c>
      <c r="B293" s="3" t="s">
        <v>810</v>
      </c>
      <c r="C293" s="3" t="s">
        <v>811</v>
      </c>
      <c r="D293" s="3" t="s">
        <v>250</v>
      </c>
      <c r="E293" s="3" t="s">
        <v>251</v>
      </c>
      <c r="F293" t="e">
        <f>_xlfn.XLOOKUP(A293,[1]邦达数据库!$A:$A,[1]邦达数据库!$C:$C)</f>
        <v>#N/A</v>
      </c>
    </row>
    <row r="294" ht="30" customHeight="1" spans="1:6">
      <c r="A294" s="4" t="s">
        <v>812</v>
      </c>
      <c r="B294" s="5" t="s">
        <v>810</v>
      </c>
      <c r="C294" s="5" t="s">
        <v>811</v>
      </c>
      <c r="D294" s="5" t="s">
        <v>250</v>
      </c>
      <c r="E294" s="5" t="s">
        <v>251</v>
      </c>
      <c r="F294" t="e">
        <f>_xlfn.XLOOKUP(A294,[1]邦达数据库!$A:$A,[1]邦达数据库!$C:$C)</f>
        <v>#N/A</v>
      </c>
    </row>
    <row r="295" ht="30" customHeight="1" spans="1:6">
      <c r="A295" s="2" t="s">
        <v>813</v>
      </c>
      <c r="B295" s="3" t="s">
        <v>814</v>
      </c>
      <c r="C295" s="3" t="s">
        <v>98</v>
      </c>
      <c r="D295" s="3" t="s">
        <v>815</v>
      </c>
      <c r="E295" s="3" t="s">
        <v>816</v>
      </c>
      <c r="F295" t="e">
        <f>_xlfn.XLOOKUP(A295,[1]邦达数据库!$A:$A,[1]邦达数据库!$C:$C)</f>
        <v>#N/A</v>
      </c>
    </row>
    <row r="296" ht="30" customHeight="1" spans="1:6">
      <c r="A296" s="4" t="s">
        <v>817</v>
      </c>
      <c r="B296" s="5" t="s">
        <v>818</v>
      </c>
      <c r="C296" s="5" t="s">
        <v>819</v>
      </c>
      <c r="D296" s="5" t="s">
        <v>820</v>
      </c>
      <c r="E296" s="5" t="s">
        <v>821</v>
      </c>
      <c r="F296" t="e">
        <f>_xlfn.XLOOKUP(A296,[1]邦达数据库!$A:$A,[1]邦达数据库!$C:$C)</f>
        <v>#N/A</v>
      </c>
    </row>
    <row r="297" ht="30" customHeight="1" spans="1:6">
      <c r="A297" s="2" t="s">
        <v>822</v>
      </c>
      <c r="B297" s="3" t="s">
        <v>818</v>
      </c>
      <c r="C297" s="3" t="s">
        <v>819</v>
      </c>
      <c r="D297" s="3" t="s">
        <v>173</v>
      </c>
      <c r="E297" s="3" t="s">
        <v>174</v>
      </c>
      <c r="F297" t="e">
        <f>_xlfn.XLOOKUP(A297,[1]邦达数据库!$A:$A,[1]邦达数据库!$C:$C)</f>
        <v>#N/A</v>
      </c>
    </row>
    <row r="298" ht="30" customHeight="1" spans="1:6">
      <c r="A298" s="4" t="s">
        <v>823</v>
      </c>
      <c r="B298" s="5" t="s">
        <v>818</v>
      </c>
      <c r="C298" s="5" t="s">
        <v>819</v>
      </c>
      <c r="D298" s="5" t="s">
        <v>173</v>
      </c>
      <c r="E298" s="5" t="s">
        <v>174</v>
      </c>
      <c r="F298" t="e">
        <f>_xlfn.XLOOKUP(A298,[1]邦达数据库!$A:$A,[1]邦达数据库!$C:$C)</f>
        <v>#N/A</v>
      </c>
    </row>
    <row r="299" ht="30" customHeight="1" spans="1:6">
      <c r="A299" s="2" t="s">
        <v>824</v>
      </c>
      <c r="B299" s="3" t="s">
        <v>818</v>
      </c>
      <c r="C299" s="3" t="s">
        <v>819</v>
      </c>
      <c r="D299" s="3" t="s">
        <v>173</v>
      </c>
      <c r="E299" s="3" t="s">
        <v>174</v>
      </c>
      <c r="F299" t="e">
        <f>_xlfn.XLOOKUP(A299,[1]邦达数据库!$A:$A,[1]邦达数据库!$C:$C)</f>
        <v>#N/A</v>
      </c>
    </row>
    <row r="300" ht="30" customHeight="1" spans="1:6">
      <c r="A300" s="4" t="s">
        <v>825</v>
      </c>
      <c r="B300" s="5" t="s">
        <v>826</v>
      </c>
      <c r="C300" s="5" t="s">
        <v>827</v>
      </c>
      <c r="D300" s="5" t="s">
        <v>379</v>
      </c>
      <c r="E300" s="5" t="s">
        <v>380</v>
      </c>
      <c r="F300" t="e">
        <f>_xlfn.XLOOKUP(A300,[1]邦达数据库!$A:$A,[1]邦达数据库!$C:$C)</f>
        <v>#N/A</v>
      </c>
    </row>
    <row r="301" ht="30" customHeight="1" spans="1:6">
      <c r="A301" s="2" t="s">
        <v>828</v>
      </c>
      <c r="B301" s="3" t="s">
        <v>818</v>
      </c>
      <c r="C301" s="3" t="s">
        <v>819</v>
      </c>
      <c r="D301" s="3" t="s">
        <v>829</v>
      </c>
      <c r="E301" s="3" t="s">
        <v>830</v>
      </c>
      <c r="F301" t="e">
        <f>_xlfn.XLOOKUP(A301,[1]邦达数据库!$A:$A,[1]邦达数据库!$C:$C)</f>
        <v>#N/A</v>
      </c>
    </row>
    <row r="302" ht="30" customHeight="1" spans="1:6">
      <c r="A302" s="4" t="s">
        <v>831</v>
      </c>
      <c r="B302" s="5" t="s">
        <v>818</v>
      </c>
      <c r="C302" s="5" t="s">
        <v>819</v>
      </c>
      <c r="D302" s="5" t="s">
        <v>832</v>
      </c>
      <c r="E302" s="5" t="s">
        <v>833</v>
      </c>
      <c r="F302" t="e">
        <f>_xlfn.XLOOKUP(A302,[1]邦达数据库!$A:$A,[1]邦达数据库!$C:$C)</f>
        <v>#N/A</v>
      </c>
    </row>
    <row r="303" ht="30" customHeight="1" spans="1:6">
      <c r="A303" s="2" t="s">
        <v>834</v>
      </c>
      <c r="B303" s="3" t="s">
        <v>835</v>
      </c>
      <c r="C303" s="3" t="s">
        <v>836</v>
      </c>
      <c r="D303" s="3" t="s">
        <v>250</v>
      </c>
      <c r="E303" s="3" t="s">
        <v>251</v>
      </c>
      <c r="F303" t="e">
        <f>_xlfn.XLOOKUP(A303,[1]邦达数据库!$A:$A,[1]邦达数据库!$C:$C)</f>
        <v>#N/A</v>
      </c>
    </row>
    <row r="304" ht="30" customHeight="1" spans="1:6">
      <c r="A304" s="4" t="s">
        <v>837</v>
      </c>
      <c r="B304" s="5" t="s">
        <v>835</v>
      </c>
      <c r="C304" s="5" t="s">
        <v>836</v>
      </c>
      <c r="D304" s="5" t="s">
        <v>250</v>
      </c>
      <c r="E304" s="5" t="s">
        <v>251</v>
      </c>
      <c r="F304" t="e">
        <f>_xlfn.XLOOKUP(A304,[1]邦达数据库!$A:$A,[1]邦达数据库!$C:$C)</f>
        <v>#N/A</v>
      </c>
    </row>
    <row r="305" ht="30" customHeight="1" spans="1:6">
      <c r="A305" s="2" t="s">
        <v>838</v>
      </c>
      <c r="B305" s="3" t="s">
        <v>835</v>
      </c>
      <c r="C305" s="3" t="s">
        <v>836</v>
      </c>
      <c r="D305" s="3" t="s">
        <v>250</v>
      </c>
      <c r="E305" s="3" t="s">
        <v>251</v>
      </c>
      <c r="F305" t="e">
        <f>_xlfn.XLOOKUP(A305,[1]邦达数据库!$A:$A,[1]邦达数据库!$C:$C)</f>
        <v>#N/A</v>
      </c>
    </row>
    <row r="306" ht="30" customHeight="1" spans="1:6">
      <c r="A306" s="4" t="s">
        <v>839</v>
      </c>
      <c r="B306" s="5" t="s">
        <v>835</v>
      </c>
      <c r="C306" s="5" t="s">
        <v>836</v>
      </c>
      <c r="D306" s="5" t="s">
        <v>250</v>
      </c>
      <c r="E306" s="5" t="s">
        <v>251</v>
      </c>
      <c r="F306" t="e">
        <f>_xlfn.XLOOKUP(A306,[1]邦达数据库!$A:$A,[1]邦达数据库!$C:$C)</f>
        <v>#N/A</v>
      </c>
    </row>
    <row r="307" ht="30" customHeight="1" spans="1:6">
      <c r="A307" s="2" t="s">
        <v>840</v>
      </c>
      <c r="B307" s="3" t="s">
        <v>841</v>
      </c>
      <c r="C307" s="3" t="s">
        <v>842</v>
      </c>
      <c r="D307" s="3" t="s">
        <v>843</v>
      </c>
      <c r="E307" s="3" t="s">
        <v>844</v>
      </c>
      <c r="F307" t="e">
        <f>_xlfn.XLOOKUP(A307,[1]邦达数据库!$A:$A,[1]邦达数据库!$C:$C)</f>
        <v>#N/A</v>
      </c>
    </row>
    <row r="308" ht="30" customHeight="1" spans="1:6">
      <c r="A308" s="4" t="s">
        <v>845</v>
      </c>
      <c r="B308" s="5" t="s">
        <v>846</v>
      </c>
      <c r="C308" s="5" t="s">
        <v>17</v>
      </c>
      <c r="D308" s="5" t="s">
        <v>847</v>
      </c>
      <c r="E308" s="5" t="s">
        <v>848</v>
      </c>
      <c r="F308" t="e">
        <f>_xlfn.XLOOKUP(A308,[1]邦达数据库!$A:$A,[1]邦达数据库!$C:$C)</f>
        <v>#N/A</v>
      </c>
    </row>
    <row r="309" ht="30" customHeight="1" spans="1:6">
      <c r="A309" s="2" t="s">
        <v>849</v>
      </c>
      <c r="B309" s="3" t="s">
        <v>846</v>
      </c>
      <c r="C309" s="3" t="s">
        <v>17</v>
      </c>
      <c r="D309" s="3" t="s">
        <v>850</v>
      </c>
      <c r="E309" s="3" t="s">
        <v>851</v>
      </c>
      <c r="F309" t="e">
        <f>_xlfn.XLOOKUP(A309,[1]邦达数据库!$A:$A,[1]邦达数据库!$C:$C)</f>
        <v>#N/A</v>
      </c>
    </row>
    <row r="310" ht="30" customHeight="1" spans="1:6">
      <c r="A310" s="4" t="s">
        <v>852</v>
      </c>
      <c r="B310" s="5" t="s">
        <v>846</v>
      </c>
      <c r="C310" s="5" t="s">
        <v>17</v>
      </c>
      <c r="D310" s="5" t="s">
        <v>853</v>
      </c>
      <c r="E310" s="5" t="s">
        <v>854</v>
      </c>
      <c r="F310" t="e">
        <f>_xlfn.XLOOKUP(A310,[1]邦达数据库!$A:$A,[1]邦达数据库!$C:$C)</f>
        <v>#N/A</v>
      </c>
    </row>
    <row r="311" ht="30" customHeight="1" spans="1:6">
      <c r="A311" s="2" t="s">
        <v>855</v>
      </c>
      <c r="B311" s="3" t="s">
        <v>846</v>
      </c>
      <c r="C311" s="3" t="s">
        <v>17</v>
      </c>
      <c r="D311" s="3" t="s">
        <v>856</v>
      </c>
      <c r="E311" s="3" t="s">
        <v>857</v>
      </c>
      <c r="F311" t="e">
        <f>_xlfn.XLOOKUP(A311,[1]邦达数据库!$A:$A,[1]邦达数据库!$C:$C)</f>
        <v>#N/A</v>
      </c>
    </row>
    <row r="312" ht="30" customHeight="1" spans="1:6">
      <c r="A312" s="4" t="s">
        <v>858</v>
      </c>
      <c r="B312" s="5" t="s">
        <v>859</v>
      </c>
      <c r="C312" s="5" t="s">
        <v>17</v>
      </c>
      <c r="D312" s="5" t="s">
        <v>860</v>
      </c>
      <c r="E312" s="5" t="s">
        <v>861</v>
      </c>
      <c r="F312" t="e">
        <f>_xlfn.XLOOKUP(A312,[1]邦达数据库!$A:$A,[1]邦达数据库!$C:$C)</f>
        <v>#N/A</v>
      </c>
    </row>
    <row r="313" ht="30" customHeight="1" spans="1:6">
      <c r="A313" s="2" t="s">
        <v>862</v>
      </c>
      <c r="B313" s="3" t="s">
        <v>859</v>
      </c>
      <c r="C313" s="3" t="s">
        <v>17</v>
      </c>
      <c r="D313" s="3" t="s">
        <v>860</v>
      </c>
      <c r="E313" s="3" t="s">
        <v>861</v>
      </c>
      <c r="F313" t="e">
        <f>_xlfn.XLOOKUP(A313,[1]邦达数据库!$A:$A,[1]邦达数据库!$C:$C)</f>
        <v>#N/A</v>
      </c>
    </row>
    <row r="314" ht="30" customHeight="1" spans="1:6">
      <c r="A314" s="4" t="s">
        <v>863</v>
      </c>
      <c r="B314" s="5" t="s">
        <v>864</v>
      </c>
      <c r="C314" s="5" t="s">
        <v>865</v>
      </c>
      <c r="D314" s="5" t="s">
        <v>794</v>
      </c>
      <c r="E314" s="5" t="s">
        <v>795</v>
      </c>
      <c r="F314" t="e">
        <f>_xlfn.XLOOKUP(A314,[1]邦达数据库!$A:$A,[1]邦达数据库!$C:$C)</f>
        <v>#N/A</v>
      </c>
    </row>
    <row r="315" ht="30" customHeight="1" spans="1:6">
      <c r="A315" s="2" t="s">
        <v>866</v>
      </c>
      <c r="B315" s="3" t="s">
        <v>864</v>
      </c>
      <c r="C315" s="3" t="s">
        <v>865</v>
      </c>
      <c r="D315" s="3" t="s">
        <v>28</v>
      </c>
      <c r="E315" s="3" t="s">
        <v>29</v>
      </c>
      <c r="F315" t="e">
        <f>_xlfn.XLOOKUP(A315,[1]邦达数据库!$A:$A,[1]邦达数据库!$C:$C)</f>
        <v>#N/A</v>
      </c>
    </row>
    <row r="316" ht="30" customHeight="1" spans="1:6">
      <c r="A316" s="4" t="s">
        <v>867</v>
      </c>
      <c r="B316" s="5" t="s">
        <v>864</v>
      </c>
      <c r="C316" s="5" t="s">
        <v>865</v>
      </c>
      <c r="D316" s="5" t="s">
        <v>28</v>
      </c>
      <c r="E316" s="5" t="s">
        <v>29</v>
      </c>
      <c r="F316" t="e">
        <f>_xlfn.XLOOKUP(A316,[1]邦达数据库!$A:$A,[1]邦达数据库!$C:$C)</f>
        <v>#N/A</v>
      </c>
    </row>
    <row r="317" ht="30" customHeight="1" spans="1:6">
      <c r="A317" s="2" t="s">
        <v>868</v>
      </c>
      <c r="B317" s="3" t="s">
        <v>864</v>
      </c>
      <c r="C317" s="3" t="s">
        <v>865</v>
      </c>
      <c r="D317" s="3" t="s">
        <v>794</v>
      </c>
      <c r="E317" s="3" t="s">
        <v>795</v>
      </c>
      <c r="F317" t="e">
        <f>_xlfn.XLOOKUP(A317,[1]邦达数据库!$A:$A,[1]邦达数据库!$C:$C)</f>
        <v>#N/A</v>
      </c>
    </row>
    <row r="318" ht="30" customHeight="1" spans="1:6">
      <c r="A318" s="4" t="s">
        <v>869</v>
      </c>
      <c r="B318" s="5" t="s">
        <v>864</v>
      </c>
      <c r="C318" s="5" t="s">
        <v>865</v>
      </c>
      <c r="D318" s="5" t="s">
        <v>28</v>
      </c>
      <c r="E318" s="5" t="s">
        <v>29</v>
      </c>
      <c r="F318" t="e">
        <f>_xlfn.XLOOKUP(A318,[1]邦达数据库!$A:$A,[1]邦达数据库!$C:$C)</f>
        <v>#N/A</v>
      </c>
    </row>
    <row r="319" ht="30" customHeight="1" spans="1:6">
      <c r="A319" s="2" t="s">
        <v>870</v>
      </c>
      <c r="B319" s="3" t="s">
        <v>864</v>
      </c>
      <c r="C319" s="3" t="s">
        <v>865</v>
      </c>
      <c r="D319" s="3" t="s">
        <v>871</v>
      </c>
      <c r="E319" s="3" t="s">
        <v>872</v>
      </c>
      <c r="F319" t="e">
        <f>_xlfn.XLOOKUP(A319,[1]邦达数据库!$A:$A,[1]邦达数据库!$C:$C)</f>
        <v>#N/A</v>
      </c>
    </row>
    <row r="320" ht="30" customHeight="1" spans="1:6">
      <c r="A320" s="4" t="s">
        <v>873</v>
      </c>
      <c r="B320" s="5" t="s">
        <v>846</v>
      </c>
      <c r="C320" s="5" t="s">
        <v>874</v>
      </c>
      <c r="D320" s="5" t="s">
        <v>336</v>
      </c>
      <c r="E320" s="5" t="s">
        <v>337</v>
      </c>
      <c r="F320" t="s">
        <v>875</v>
      </c>
    </row>
    <row r="321" ht="30" customHeight="1" spans="1:6">
      <c r="A321" s="2" t="s">
        <v>876</v>
      </c>
      <c r="B321" s="3" t="s">
        <v>846</v>
      </c>
      <c r="C321" s="3" t="s">
        <v>874</v>
      </c>
      <c r="D321" s="3" t="s">
        <v>336</v>
      </c>
      <c r="E321" s="3" t="s">
        <v>337</v>
      </c>
      <c r="F321" t="s">
        <v>875</v>
      </c>
    </row>
    <row r="322" ht="30" customHeight="1" spans="1:6">
      <c r="A322" s="4" t="s">
        <v>877</v>
      </c>
      <c r="B322" s="5" t="s">
        <v>878</v>
      </c>
      <c r="C322" s="5" t="s">
        <v>216</v>
      </c>
      <c r="D322" s="5" t="s">
        <v>879</v>
      </c>
      <c r="E322" s="5" t="s">
        <v>880</v>
      </c>
      <c r="F322" t="e">
        <f>_xlfn.XLOOKUP(A322,[1]邦达数据库!$A:$A,[1]邦达数据库!$C:$C)</f>
        <v>#N/A</v>
      </c>
    </row>
    <row r="323" ht="30" customHeight="1" spans="1:6">
      <c r="A323" s="2" t="s">
        <v>881</v>
      </c>
      <c r="B323" s="3" t="s">
        <v>882</v>
      </c>
      <c r="C323" s="3" t="s">
        <v>123</v>
      </c>
      <c r="D323" s="3" t="s">
        <v>582</v>
      </c>
      <c r="E323" s="3" t="s">
        <v>583</v>
      </c>
      <c r="F323" t="e">
        <f>_xlfn.XLOOKUP(A323,[1]邦达数据库!$A:$A,[1]邦达数据库!$C:$C)</f>
        <v>#N/A</v>
      </c>
    </row>
    <row r="324" ht="30" customHeight="1" spans="1:6">
      <c r="A324" s="4" t="s">
        <v>883</v>
      </c>
      <c r="B324" s="5" t="s">
        <v>882</v>
      </c>
      <c r="C324" s="5" t="s">
        <v>123</v>
      </c>
      <c r="D324" s="5" t="s">
        <v>884</v>
      </c>
      <c r="E324" s="5" t="s">
        <v>885</v>
      </c>
      <c r="F324" t="e">
        <f>_xlfn.XLOOKUP(A324,[1]邦达数据库!$A:$A,[1]邦达数据库!$C:$C)</f>
        <v>#N/A</v>
      </c>
    </row>
    <row r="325" ht="30" customHeight="1" spans="1:6">
      <c r="A325" s="2" t="s">
        <v>886</v>
      </c>
      <c r="B325" s="3" t="s">
        <v>882</v>
      </c>
      <c r="C325" s="3" t="s">
        <v>123</v>
      </c>
      <c r="D325" s="3" t="s">
        <v>887</v>
      </c>
      <c r="E325" s="3" t="s">
        <v>888</v>
      </c>
      <c r="F325" t="e">
        <f>_xlfn.XLOOKUP(A325,[1]邦达数据库!$A:$A,[1]邦达数据库!$C:$C)</f>
        <v>#N/A</v>
      </c>
    </row>
    <row r="326" ht="30" customHeight="1" spans="1:6">
      <c r="A326" s="4" t="s">
        <v>889</v>
      </c>
      <c r="B326" s="5" t="s">
        <v>882</v>
      </c>
      <c r="C326" s="5" t="s">
        <v>123</v>
      </c>
      <c r="D326" s="5" t="s">
        <v>890</v>
      </c>
      <c r="E326" s="5" t="s">
        <v>891</v>
      </c>
      <c r="F326" t="e">
        <f>_xlfn.XLOOKUP(A326,[1]邦达数据库!$A:$A,[1]邦达数据库!$C:$C)</f>
        <v>#N/A</v>
      </c>
    </row>
    <row r="327" ht="30" customHeight="1" spans="1:6">
      <c r="A327" s="2" t="s">
        <v>892</v>
      </c>
      <c r="B327" s="3" t="s">
        <v>190</v>
      </c>
      <c r="C327" s="3" t="s">
        <v>88</v>
      </c>
      <c r="D327" s="3" t="s">
        <v>893</v>
      </c>
      <c r="E327" s="3" t="s">
        <v>894</v>
      </c>
      <c r="F327" t="e">
        <f>_xlfn.XLOOKUP(A327,[1]邦达数据库!$A:$A,[1]邦达数据库!$C:$C)</f>
        <v>#N/A</v>
      </c>
    </row>
    <row r="328" ht="30" customHeight="1" spans="1:6">
      <c r="A328" s="4" t="s">
        <v>895</v>
      </c>
      <c r="B328" s="5" t="s">
        <v>190</v>
      </c>
      <c r="C328" s="5" t="s">
        <v>88</v>
      </c>
      <c r="D328" s="5" t="s">
        <v>896</v>
      </c>
      <c r="E328" s="5" t="s">
        <v>897</v>
      </c>
      <c r="F328" t="e">
        <f>_xlfn.XLOOKUP(A328,[1]邦达数据库!$A:$A,[1]邦达数据库!$C:$C)</f>
        <v>#N/A</v>
      </c>
    </row>
    <row r="329" ht="30" customHeight="1" spans="1:6">
      <c r="A329" s="2" t="s">
        <v>898</v>
      </c>
      <c r="B329" s="3" t="s">
        <v>190</v>
      </c>
      <c r="C329" s="3" t="s">
        <v>88</v>
      </c>
      <c r="D329" s="3" t="s">
        <v>893</v>
      </c>
      <c r="E329" s="3" t="s">
        <v>894</v>
      </c>
      <c r="F329" t="e">
        <f>_xlfn.XLOOKUP(A329,[1]邦达数据库!$A:$A,[1]邦达数据库!$C:$C)</f>
        <v>#N/A</v>
      </c>
    </row>
    <row r="330" ht="30" customHeight="1" spans="1:6">
      <c r="A330" s="4" t="s">
        <v>899</v>
      </c>
      <c r="B330" s="5" t="s">
        <v>190</v>
      </c>
      <c r="C330" s="5" t="s">
        <v>88</v>
      </c>
      <c r="D330" s="5" t="s">
        <v>900</v>
      </c>
      <c r="E330" s="5" t="s">
        <v>901</v>
      </c>
      <c r="F330" t="e">
        <f>_xlfn.XLOOKUP(A330,[1]邦达数据库!$A:$A,[1]邦达数据库!$C:$C)</f>
        <v>#N/A</v>
      </c>
    </row>
    <row r="331" ht="30" customHeight="1" spans="1:6">
      <c r="A331" s="2" t="s">
        <v>902</v>
      </c>
      <c r="B331" s="3" t="s">
        <v>190</v>
      </c>
      <c r="C331" s="3" t="s">
        <v>88</v>
      </c>
      <c r="D331" s="3" t="s">
        <v>893</v>
      </c>
      <c r="E331" s="3" t="s">
        <v>894</v>
      </c>
      <c r="F331" t="e">
        <f>_xlfn.XLOOKUP(A331,[1]邦达数据库!$A:$A,[1]邦达数据库!$C:$C)</f>
        <v>#N/A</v>
      </c>
    </row>
    <row r="332" ht="30" customHeight="1" spans="1:6">
      <c r="A332" s="4" t="s">
        <v>903</v>
      </c>
      <c r="B332" s="5" t="s">
        <v>190</v>
      </c>
      <c r="C332" s="5" t="s">
        <v>88</v>
      </c>
      <c r="D332" s="5" t="s">
        <v>900</v>
      </c>
      <c r="E332" s="5" t="s">
        <v>901</v>
      </c>
      <c r="F332" t="e">
        <f>_xlfn.XLOOKUP(A332,[1]邦达数据库!$A:$A,[1]邦达数据库!$C:$C)</f>
        <v>#N/A</v>
      </c>
    </row>
    <row r="333" ht="30" customHeight="1" spans="1:6">
      <c r="A333" s="2" t="s">
        <v>904</v>
      </c>
      <c r="B333" s="3" t="s">
        <v>190</v>
      </c>
      <c r="C333" s="3" t="s">
        <v>88</v>
      </c>
      <c r="D333" s="3" t="s">
        <v>905</v>
      </c>
      <c r="E333" s="3" t="s">
        <v>906</v>
      </c>
      <c r="F333" t="e">
        <f>_xlfn.XLOOKUP(A333,[1]邦达数据库!$A:$A,[1]邦达数据库!$C:$C)</f>
        <v>#N/A</v>
      </c>
    </row>
    <row r="334" ht="30" customHeight="1" spans="1:6">
      <c r="A334" s="4" t="s">
        <v>907</v>
      </c>
      <c r="B334" s="5" t="s">
        <v>190</v>
      </c>
      <c r="C334" s="5" t="s">
        <v>88</v>
      </c>
      <c r="D334" s="5" t="s">
        <v>223</v>
      </c>
      <c r="E334" s="5" t="s">
        <v>224</v>
      </c>
      <c r="F334" t="e">
        <f>_xlfn.XLOOKUP(A334,[1]邦达数据库!$A:$A,[1]邦达数据库!$C:$C)</f>
        <v>#N/A</v>
      </c>
    </row>
    <row r="335" ht="30" customHeight="1" spans="1:6">
      <c r="A335" s="2" t="s">
        <v>908</v>
      </c>
      <c r="B335" s="3" t="s">
        <v>190</v>
      </c>
      <c r="C335" s="3" t="s">
        <v>88</v>
      </c>
      <c r="D335" s="3" t="s">
        <v>223</v>
      </c>
      <c r="E335" s="3" t="s">
        <v>224</v>
      </c>
      <c r="F335" t="e">
        <f>_xlfn.XLOOKUP(A335,[1]邦达数据库!$A:$A,[1]邦达数据库!$C:$C)</f>
        <v>#N/A</v>
      </c>
    </row>
    <row r="336" ht="30" customHeight="1" spans="1:6">
      <c r="A336" s="4" t="s">
        <v>909</v>
      </c>
      <c r="B336" s="5" t="s">
        <v>910</v>
      </c>
      <c r="C336" s="5" t="s">
        <v>443</v>
      </c>
      <c r="D336" s="5" t="s">
        <v>223</v>
      </c>
      <c r="E336" s="5" t="s">
        <v>224</v>
      </c>
      <c r="F336" t="e">
        <f>_xlfn.XLOOKUP(A336,[1]邦达数据库!$A:$A,[1]邦达数据库!$C:$C)</f>
        <v>#N/A</v>
      </c>
    </row>
    <row r="337" ht="30" customHeight="1" spans="1:6">
      <c r="A337" s="2" t="s">
        <v>911</v>
      </c>
      <c r="B337" s="3" t="s">
        <v>190</v>
      </c>
      <c r="C337" s="3" t="s">
        <v>88</v>
      </c>
      <c r="D337" s="3" t="s">
        <v>893</v>
      </c>
      <c r="E337" s="3" t="s">
        <v>894</v>
      </c>
      <c r="F337" t="e">
        <f>_xlfn.XLOOKUP(A337,[1]邦达数据库!$A:$A,[1]邦达数据库!$C:$C)</f>
        <v>#N/A</v>
      </c>
    </row>
    <row r="338" ht="30" customHeight="1" spans="1:6">
      <c r="A338" s="4" t="s">
        <v>912</v>
      </c>
      <c r="B338" s="5" t="s">
        <v>910</v>
      </c>
      <c r="C338" s="5" t="s">
        <v>443</v>
      </c>
      <c r="D338" s="5" t="s">
        <v>223</v>
      </c>
      <c r="E338" s="5" t="s">
        <v>224</v>
      </c>
      <c r="F338" t="e">
        <f>_xlfn.XLOOKUP(A338,[1]邦达数据库!$A:$A,[1]邦达数据库!$C:$C)</f>
        <v>#N/A</v>
      </c>
    </row>
    <row r="339" ht="30" customHeight="1" spans="1:6">
      <c r="A339" s="2" t="s">
        <v>913</v>
      </c>
      <c r="B339" s="3" t="s">
        <v>190</v>
      </c>
      <c r="C339" s="3" t="s">
        <v>88</v>
      </c>
      <c r="D339" s="3" t="s">
        <v>914</v>
      </c>
      <c r="E339" s="3" t="s">
        <v>915</v>
      </c>
      <c r="F339" t="e">
        <f>_xlfn.XLOOKUP(A339,[1]邦达数据库!$A:$A,[1]邦达数据库!$C:$C)</f>
        <v>#N/A</v>
      </c>
    </row>
    <row r="340" ht="30" customHeight="1" spans="1:6">
      <c r="A340" s="4" t="s">
        <v>916</v>
      </c>
      <c r="B340" s="5" t="s">
        <v>190</v>
      </c>
      <c r="C340" s="5" t="s">
        <v>88</v>
      </c>
      <c r="D340" s="5" t="s">
        <v>893</v>
      </c>
      <c r="E340" s="5" t="s">
        <v>894</v>
      </c>
      <c r="F340" t="e">
        <f>_xlfn.XLOOKUP(A340,[1]邦达数据库!$A:$A,[1]邦达数据库!$C:$C)</f>
        <v>#N/A</v>
      </c>
    </row>
    <row r="341" ht="30" customHeight="1" spans="1:6">
      <c r="A341" s="2" t="s">
        <v>917</v>
      </c>
      <c r="B341" s="3" t="s">
        <v>190</v>
      </c>
      <c r="C341" s="3" t="s">
        <v>88</v>
      </c>
      <c r="D341" s="3" t="s">
        <v>893</v>
      </c>
      <c r="E341" s="3" t="s">
        <v>894</v>
      </c>
      <c r="F341" t="e">
        <f>_xlfn.XLOOKUP(A341,[1]邦达数据库!$A:$A,[1]邦达数据库!$C:$C)</f>
        <v>#N/A</v>
      </c>
    </row>
    <row r="342" ht="30" customHeight="1" spans="1:6">
      <c r="A342" s="4" t="s">
        <v>918</v>
      </c>
      <c r="B342" s="5" t="s">
        <v>190</v>
      </c>
      <c r="C342" s="5" t="s">
        <v>88</v>
      </c>
      <c r="D342" s="5" t="s">
        <v>919</v>
      </c>
      <c r="E342" s="5" t="s">
        <v>920</v>
      </c>
      <c r="F342" t="e">
        <f>_xlfn.XLOOKUP(A342,[1]邦达数据库!$A:$A,[1]邦达数据库!$C:$C)</f>
        <v>#N/A</v>
      </c>
    </row>
    <row r="343" ht="30" customHeight="1" spans="1:6">
      <c r="A343" s="2" t="s">
        <v>921</v>
      </c>
      <c r="B343" s="3" t="s">
        <v>190</v>
      </c>
      <c r="C343" s="3" t="s">
        <v>88</v>
      </c>
      <c r="D343" s="3" t="s">
        <v>893</v>
      </c>
      <c r="E343" s="3" t="s">
        <v>894</v>
      </c>
      <c r="F343" t="e">
        <f>_xlfn.XLOOKUP(A343,[1]邦达数据库!$A:$A,[1]邦达数据库!$C:$C)</f>
        <v>#N/A</v>
      </c>
    </row>
    <row r="344" ht="30" customHeight="1" spans="1:6">
      <c r="A344" s="4" t="s">
        <v>922</v>
      </c>
      <c r="B344" s="5" t="s">
        <v>910</v>
      </c>
      <c r="C344" s="5" t="s">
        <v>443</v>
      </c>
      <c r="D344" s="5" t="s">
        <v>223</v>
      </c>
      <c r="E344" s="5" t="s">
        <v>224</v>
      </c>
      <c r="F344" t="e">
        <f>_xlfn.XLOOKUP(A344,[1]邦达数据库!$A:$A,[1]邦达数据库!$C:$C)</f>
        <v>#N/A</v>
      </c>
    </row>
    <row r="345" ht="30" customHeight="1" spans="1:6">
      <c r="A345" s="2" t="s">
        <v>923</v>
      </c>
      <c r="B345" s="3" t="s">
        <v>190</v>
      </c>
      <c r="C345" s="3" t="s">
        <v>88</v>
      </c>
      <c r="D345" s="3" t="s">
        <v>924</v>
      </c>
      <c r="E345" s="3" t="s">
        <v>925</v>
      </c>
      <c r="F345" t="e">
        <f>_xlfn.XLOOKUP(A345,[1]邦达数据库!$A:$A,[1]邦达数据库!$C:$C)</f>
        <v>#N/A</v>
      </c>
    </row>
    <row r="346" ht="30" customHeight="1" spans="1:6">
      <c r="A346" s="4" t="s">
        <v>926</v>
      </c>
      <c r="B346" s="5" t="s">
        <v>190</v>
      </c>
      <c r="C346" s="5" t="s">
        <v>88</v>
      </c>
      <c r="D346" s="5" t="s">
        <v>927</v>
      </c>
      <c r="E346" s="5" t="s">
        <v>928</v>
      </c>
      <c r="F346" t="e">
        <f>_xlfn.XLOOKUP(A346,[1]邦达数据库!$A:$A,[1]邦达数据库!$C:$C)</f>
        <v>#N/A</v>
      </c>
    </row>
    <row r="347" ht="30" customHeight="1" spans="1:6">
      <c r="A347" s="2" t="s">
        <v>929</v>
      </c>
      <c r="B347" s="3" t="s">
        <v>190</v>
      </c>
      <c r="C347" s="3" t="s">
        <v>88</v>
      </c>
      <c r="D347" s="3" t="s">
        <v>893</v>
      </c>
      <c r="E347" s="3" t="s">
        <v>894</v>
      </c>
      <c r="F347" t="e">
        <f>_xlfn.XLOOKUP(A347,[1]邦达数据库!$A:$A,[1]邦达数据库!$C:$C)</f>
        <v>#N/A</v>
      </c>
    </row>
    <row r="348" ht="30" customHeight="1" spans="1:6">
      <c r="A348" s="4" t="s">
        <v>930</v>
      </c>
      <c r="B348" s="5" t="s">
        <v>190</v>
      </c>
      <c r="C348" s="5" t="s">
        <v>88</v>
      </c>
      <c r="D348" s="5" t="s">
        <v>931</v>
      </c>
      <c r="E348" s="5" t="s">
        <v>932</v>
      </c>
      <c r="F348" t="e">
        <f>_xlfn.XLOOKUP(A348,[1]邦达数据库!$A:$A,[1]邦达数据库!$C:$C)</f>
        <v>#N/A</v>
      </c>
    </row>
    <row r="349" ht="30" customHeight="1" spans="1:6">
      <c r="A349" s="2" t="s">
        <v>933</v>
      </c>
      <c r="B349" s="3" t="s">
        <v>190</v>
      </c>
      <c r="C349" s="3" t="s">
        <v>88</v>
      </c>
      <c r="D349" s="3" t="s">
        <v>900</v>
      </c>
      <c r="E349" s="3" t="s">
        <v>901</v>
      </c>
      <c r="F349" t="e">
        <f>_xlfn.XLOOKUP(A349,[1]邦达数据库!$A:$A,[1]邦达数据库!$C:$C)</f>
        <v>#N/A</v>
      </c>
    </row>
    <row r="350" ht="30" customHeight="1" spans="1:6">
      <c r="A350" s="4" t="s">
        <v>934</v>
      </c>
      <c r="B350" s="5" t="s">
        <v>190</v>
      </c>
      <c r="C350" s="5" t="s">
        <v>88</v>
      </c>
      <c r="D350" s="5" t="s">
        <v>935</v>
      </c>
      <c r="E350" s="5" t="s">
        <v>936</v>
      </c>
      <c r="F350" t="e">
        <f>_xlfn.XLOOKUP(A350,[1]邦达数据库!$A:$A,[1]邦达数据库!$C:$C)</f>
        <v>#N/A</v>
      </c>
    </row>
    <row r="351" ht="30" customHeight="1" spans="1:6">
      <c r="A351" s="2" t="s">
        <v>937</v>
      </c>
      <c r="B351" s="3" t="s">
        <v>190</v>
      </c>
      <c r="C351" s="3" t="s">
        <v>88</v>
      </c>
      <c r="D351" s="3" t="s">
        <v>893</v>
      </c>
      <c r="E351" s="3" t="s">
        <v>894</v>
      </c>
      <c r="F351" t="e">
        <f>_xlfn.XLOOKUP(A351,[1]邦达数据库!$A:$A,[1]邦达数据库!$C:$C)</f>
        <v>#N/A</v>
      </c>
    </row>
    <row r="352" ht="30" customHeight="1" spans="1:6">
      <c r="A352" s="4" t="s">
        <v>938</v>
      </c>
      <c r="B352" s="5" t="s">
        <v>190</v>
      </c>
      <c r="C352" s="5" t="s">
        <v>88</v>
      </c>
      <c r="D352" s="5" t="s">
        <v>893</v>
      </c>
      <c r="E352" s="5" t="s">
        <v>894</v>
      </c>
      <c r="F352" t="e">
        <f>_xlfn.XLOOKUP(A352,[1]邦达数据库!$A:$A,[1]邦达数据库!$C:$C)</f>
        <v>#N/A</v>
      </c>
    </row>
    <row r="353" ht="30" customHeight="1" spans="1:6">
      <c r="A353" s="2" t="s">
        <v>939</v>
      </c>
      <c r="B353" s="3" t="s">
        <v>910</v>
      </c>
      <c r="C353" s="3" t="s">
        <v>443</v>
      </c>
      <c r="D353" s="3" t="s">
        <v>223</v>
      </c>
      <c r="E353" s="3" t="s">
        <v>224</v>
      </c>
      <c r="F353" t="e">
        <f>_xlfn.XLOOKUP(A353,[1]邦达数据库!$A:$A,[1]邦达数据库!$C:$C)</f>
        <v>#N/A</v>
      </c>
    </row>
    <row r="354" ht="30" customHeight="1" spans="1:6">
      <c r="A354" s="4" t="s">
        <v>940</v>
      </c>
      <c r="B354" s="5" t="s">
        <v>190</v>
      </c>
      <c r="C354" s="5" t="s">
        <v>88</v>
      </c>
      <c r="D354" s="5" t="s">
        <v>941</v>
      </c>
      <c r="E354" s="5" t="s">
        <v>942</v>
      </c>
      <c r="F354" t="e">
        <f>_xlfn.XLOOKUP(A354,[1]邦达数据库!$A:$A,[1]邦达数据库!$C:$C)</f>
        <v>#N/A</v>
      </c>
    </row>
    <row r="355" ht="30" customHeight="1" spans="1:6">
      <c r="A355" s="2" t="s">
        <v>943</v>
      </c>
      <c r="B355" s="3" t="s">
        <v>190</v>
      </c>
      <c r="C355" s="3" t="s">
        <v>88</v>
      </c>
      <c r="D355" s="3" t="s">
        <v>944</v>
      </c>
      <c r="E355" s="3" t="s">
        <v>945</v>
      </c>
      <c r="F355" t="e">
        <f>_xlfn.XLOOKUP(A355,[1]邦达数据库!$A:$A,[1]邦达数据库!$C:$C)</f>
        <v>#N/A</v>
      </c>
    </row>
    <row r="356" ht="30" customHeight="1" spans="1:6">
      <c r="A356" s="4" t="s">
        <v>946</v>
      </c>
      <c r="B356" s="5" t="s">
        <v>190</v>
      </c>
      <c r="C356" s="5" t="s">
        <v>88</v>
      </c>
      <c r="D356" s="5" t="s">
        <v>941</v>
      </c>
      <c r="E356" s="5" t="s">
        <v>942</v>
      </c>
      <c r="F356" t="e">
        <f>_xlfn.XLOOKUP(A356,[1]邦达数据库!$A:$A,[1]邦达数据库!$C:$C)</f>
        <v>#N/A</v>
      </c>
    </row>
    <row r="357" ht="30" customHeight="1" spans="1:6">
      <c r="A357" s="2" t="s">
        <v>947</v>
      </c>
      <c r="B357" s="3" t="s">
        <v>190</v>
      </c>
      <c r="C357" s="3" t="s">
        <v>88</v>
      </c>
      <c r="D357" s="3" t="s">
        <v>680</v>
      </c>
      <c r="E357" s="3" t="s">
        <v>681</v>
      </c>
      <c r="F357" t="e">
        <f>_xlfn.XLOOKUP(A357,[1]邦达数据库!$A:$A,[1]邦达数据库!$C:$C)</f>
        <v>#N/A</v>
      </c>
    </row>
    <row r="358" ht="30" customHeight="1" spans="1:6">
      <c r="A358" s="4" t="s">
        <v>948</v>
      </c>
      <c r="B358" s="5" t="s">
        <v>190</v>
      </c>
      <c r="C358" s="5" t="s">
        <v>88</v>
      </c>
      <c r="D358" s="5" t="s">
        <v>949</v>
      </c>
      <c r="E358" s="5" t="s">
        <v>950</v>
      </c>
      <c r="F358" t="e">
        <f>_xlfn.XLOOKUP(A358,[1]邦达数据库!$A:$A,[1]邦达数据库!$C:$C)</f>
        <v>#N/A</v>
      </c>
    </row>
    <row r="359" ht="30" customHeight="1" spans="1:6">
      <c r="A359" s="2" t="s">
        <v>951</v>
      </c>
      <c r="B359" s="3" t="s">
        <v>952</v>
      </c>
      <c r="C359" s="3" t="s">
        <v>953</v>
      </c>
      <c r="D359" s="3" t="s">
        <v>184</v>
      </c>
      <c r="E359" s="3" t="s">
        <v>185</v>
      </c>
      <c r="F359" t="e">
        <f>_xlfn.XLOOKUP(A359,[1]邦达数据库!$A:$A,[1]邦达数据库!$C:$C)</f>
        <v>#N/A</v>
      </c>
    </row>
    <row r="360" ht="30" customHeight="1" spans="1:6">
      <c r="A360" s="4" t="s">
        <v>954</v>
      </c>
      <c r="B360" s="5" t="s">
        <v>952</v>
      </c>
      <c r="C360" s="5" t="s">
        <v>395</v>
      </c>
      <c r="D360" s="5" t="s">
        <v>847</v>
      </c>
      <c r="E360" s="5" t="s">
        <v>848</v>
      </c>
      <c r="F360" t="e">
        <f>_xlfn.XLOOKUP(A360,[1]邦达数据库!$A:$A,[1]邦达数据库!$C:$C)</f>
        <v>#N/A</v>
      </c>
    </row>
    <row r="361" ht="30" customHeight="1" spans="1:6">
      <c r="A361" s="2" t="s">
        <v>955</v>
      </c>
      <c r="B361" s="3" t="s">
        <v>952</v>
      </c>
      <c r="C361" s="3" t="s">
        <v>953</v>
      </c>
      <c r="D361" s="3" t="s">
        <v>956</v>
      </c>
      <c r="E361" s="3" t="s">
        <v>957</v>
      </c>
      <c r="F361" t="e">
        <f>_xlfn.XLOOKUP(A361,[1]邦达数据库!$A:$A,[1]邦达数据库!$C:$C)</f>
        <v>#N/A</v>
      </c>
    </row>
    <row r="362" ht="30" customHeight="1" spans="1:6">
      <c r="A362" s="4" t="s">
        <v>958</v>
      </c>
      <c r="B362" s="5" t="s">
        <v>952</v>
      </c>
      <c r="C362" s="5" t="s">
        <v>953</v>
      </c>
      <c r="D362" s="5" t="s">
        <v>184</v>
      </c>
      <c r="E362" s="5" t="s">
        <v>185</v>
      </c>
      <c r="F362" t="e">
        <f>_xlfn.XLOOKUP(A362,[1]邦达数据库!$A:$A,[1]邦达数据库!$C:$C)</f>
        <v>#N/A</v>
      </c>
    </row>
    <row r="363" ht="30" customHeight="1" spans="1:6">
      <c r="A363" s="2" t="s">
        <v>959</v>
      </c>
      <c r="B363" s="3" t="s">
        <v>952</v>
      </c>
      <c r="C363" s="3" t="s">
        <v>953</v>
      </c>
      <c r="D363" s="3" t="s">
        <v>956</v>
      </c>
      <c r="E363" s="3" t="s">
        <v>957</v>
      </c>
      <c r="F363" t="e">
        <f>_xlfn.XLOOKUP(A363,[1]邦达数据库!$A:$A,[1]邦达数据库!$C:$C)</f>
        <v>#N/A</v>
      </c>
    </row>
    <row r="364" ht="30" customHeight="1" spans="1:6">
      <c r="A364" s="4" t="s">
        <v>960</v>
      </c>
      <c r="B364" s="5" t="s">
        <v>961</v>
      </c>
      <c r="C364" s="5" t="s">
        <v>962</v>
      </c>
      <c r="D364" s="5" t="s">
        <v>963</v>
      </c>
      <c r="E364" s="5" t="s">
        <v>964</v>
      </c>
      <c r="F364" t="e">
        <f>_xlfn.XLOOKUP(A364,[1]邦达数据库!$A:$A,[1]邦达数据库!$C:$C)</f>
        <v>#N/A</v>
      </c>
    </row>
    <row r="365" ht="30" customHeight="1" spans="1:6">
      <c r="A365" s="2" t="s">
        <v>965</v>
      </c>
      <c r="B365" s="3" t="s">
        <v>961</v>
      </c>
      <c r="C365" s="3" t="s">
        <v>962</v>
      </c>
      <c r="D365" s="3" t="s">
        <v>963</v>
      </c>
      <c r="E365" s="3" t="s">
        <v>964</v>
      </c>
      <c r="F365" t="e">
        <f>_xlfn.XLOOKUP(A365,[1]邦达数据库!$A:$A,[1]邦达数据库!$C:$C)</f>
        <v>#N/A</v>
      </c>
    </row>
    <row r="366" ht="30" customHeight="1" spans="1:6">
      <c r="A366" s="4" t="s">
        <v>966</v>
      </c>
      <c r="B366" s="5" t="s">
        <v>961</v>
      </c>
      <c r="C366" s="5" t="s">
        <v>962</v>
      </c>
      <c r="D366" s="5" t="s">
        <v>963</v>
      </c>
      <c r="E366" s="5" t="s">
        <v>964</v>
      </c>
      <c r="F366" t="e">
        <f>_xlfn.XLOOKUP(A366,[1]邦达数据库!$A:$A,[1]邦达数据库!$C:$C)</f>
        <v>#N/A</v>
      </c>
    </row>
    <row r="367" ht="30" customHeight="1" spans="1:6">
      <c r="A367" s="2" t="s">
        <v>967</v>
      </c>
      <c r="B367" s="3" t="s">
        <v>968</v>
      </c>
      <c r="C367" s="3" t="s">
        <v>443</v>
      </c>
      <c r="D367" s="3" t="s">
        <v>223</v>
      </c>
      <c r="E367" s="3" t="s">
        <v>224</v>
      </c>
      <c r="F367" t="e">
        <f>_xlfn.XLOOKUP(A367,[1]邦达数据库!$A:$A,[1]邦达数据库!$C:$C)</f>
        <v>#N/A</v>
      </c>
    </row>
    <row r="368" ht="30" customHeight="1" spans="1:6">
      <c r="A368" s="4" t="s">
        <v>969</v>
      </c>
      <c r="B368" s="5" t="s">
        <v>970</v>
      </c>
      <c r="C368" s="5" t="s">
        <v>827</v>
      </c>
      <c r="D368" s="5" t="s">
        <v>971</v>
      </c>
      <c r="E368" s="5" t="s">
        <v>972</v>
      </c>
      <c r="F368" t="e">
        <f>_xlfn.XLOOKUP(A368,[1]邦达数据库!$A:$A,[1]邦达数据库!$C:$C)</f>
        <v>#N/A</v>
      </c>
    </row>
    <row r="369" ht="30" customHeight="1" spans="1:6">
      <c r="A369" s="2" t="s">
        <v>973</v>
      </c>
      <c r="B369" s="3" t="s">
        <v>974</v>
      </c>
      <c r="C369" s="3" t="s">
        <v>975</v>
      </c>
      <c r="D369" s="3" t="s">
        <v>976</v>
      </c>
      <c r="E369" s="3" t="s">
        <v>977</v>
      </c>
      <c r="F369" t="e">
        <f>_xlfn.XLOOKUP(A369,[1]邦达数据库!$A:$A,[1]邦达数据库!$C:$C)</f>
        <v>#N/A</v>
      </c>
    </row>
    <row r="370" ht="30" customHeight="1" spans="1:6">
      <c r="A370" s="4" t="s">
        <v>978</v>
      </c>
      <c r="B370" s="5" t="s">
        <v>974</v>
      </c>
      <c r="C370" s="5" t="s">
        <v>975</v>
      </c>
      <c r="D370" s="5" t="s">
        <v>979</v>
      </c>
      <c r="E370" s="5" t="s">
        <v>980</v>
      </c>
      <c r="F370" t="e">
        <f>_xlfn.XLOOKUP(A370,[1]邦达数据库!$A:$A,[1]邦达数据库!$C:$C)</f>
        <v>#N/A</v>
      </c>
    </row>
    <row r="371" ht="30" customHeight="1" spans="1:6">
      <c r="A371" s="2" t="s">
        <v>981</v>
      </c>
      <c r="B371" s="3" t="s">
        <v>974</v>
      </c>
      <c r="C371" s="3" t="s">
        <v>982</v>
      </c>
      <c r="D371" s="3" t="s">
        <v>983</v>
      </c>
      <c r="E371" s="3" t="s">
        <v>984</v>
      </c>
      <c r="F371" t="e">
        <f>_xlfn.XLOOKUP(A371,[1]邦达数据库!$A:$A,[1]邦达数据库!$C:$C)</f>
        <v>#N/A</v>
      </c>
    </row>
    <row r="372" ht="30" customHeight="1" spans="1:6">
      <c r="A372" s="4" t="s">
        <v>985</v>
      </c>
      <c r="B372" s="5" t="s">
        <v>974</v>
      </c>
      <c r="C372" s="5" t="s">
        <v>975</v>
      </c>
      <c r="D372" s="5" t="s">
        <v>986</v>
      </c>
      <c r="E372" s="5" t="s">
        <v>987</v>
      </c>
      <c r="F372" t="e">
        <f>_xlfn.XLOOKUP(A372,[1]邦达数据库!$A:$A,[1]邦达数据库!$C:$C)</f>
        <v>#N/A</v>
      </c>
    </row>
    <row r="373" ht="30" customHeight="1" spans="1:6">
      <c r="A373" s="2" t="s">
        <v>988</v>
      </c>
      <c r="B373" s="3" t="s">
        <v>974</v>
      </c>
      <c r="C373" s="3" t="s">
        <v>975</v>
      </c>
      <c r="D373" s="3" t="s">
        <v>989</v>
      </c>
      <c r="E373" s="3" t="s">
        <v>990</v>
      </c>
      <c r="F373" t="e">
        <f>_xlfn.XLOOKUP(A373,[1]邦达数据库!$A:$A,[1]邦达数据库!$C:$C)</f>
        <v>#N/A</v>
      </c>
    </row>
    <row r="374" ht="30" customHeight="1" spans="1:6">
      <c r="A374" s="4" t="s">
        <v>991</v>
      </c>
      <c r="B374" s="5" t="s">
        <v>974</v>
      </c>
      <c r="C374" s="5" t="s">
        <v>975</v>
      </c>
      <c r="D374" s="5" t="s">
        <v>992</v>
      </c>
      <c r="E374" s="5" t="s">
        <v>993</v>
      </c>
      <c r="F374" t="e">
        <f>_xlfn.XLOOKUP(A374,[1]邦达数据库!$A:$A,[1]邦达数据库!$C:$C)</f>
        <v>#N/A</v>
      </c>
    </row>
    <row r="375" ht="30" customHeight="1" spans="1:6">
      <c r="A375" s="2" t="s">
        <v>994</v>
      </c>
      <c r="B375" s="3" t="s">
        <v>995</v>
      </c>
      <c r="C375" s="3" t="s">
        <v>459</v>
      </c>
      <c r="D375" s="3" t="s">
        <v>996</v>
      </c>
      <c r="E375" s="3" t="s">
        <v>997</v>
      </c>
      <c r="F375" t="e">
        <f>_xlfn.XLOOKUP(A375,[1]邦达数据库!$A:$A,[1]邦达数据库!$C:$C)</f>
        <v>#N/A</v>
      </c>
    </row>
    <row r="376" ht="30" customHeight="1" spans="1:6">
      <c r="A376" s="4" t="s">
        <v>998</v>
      </c>
      <c r="B376" s="5" t="s">
        <v>995</v>
      </c>
      <c r="C376" s="5" t="s">
        <v>459</v>
      </c>
      <c r="D376" s="5" t="s">
        <v>996</v>
      </c>
      <c r="E376" s="5" t="s">
        <v>997</v>
      </c>
      <c r="F376" t="e">
        <f>_xlfn.XLOOKUP(A376,[1]邦达数据库!$A:$A,[1]邦达数据库!$C:$C)</f>
        <v>#N/A</v>
      </c>
    </row>
    <row r="377" ht="30" customHeight="1" spans="1:6">
      <c r="A377" s="2" t="s">
        <v>999</v>
      </c>
      <c r="B377" s="3" t="s">
        <v>995</v>
      </c>
      <c r="C377" s="3" t="s">
        <v>459</v>
      </c>
      <c r="D377" s="3" t="s">
        <v>1000</v>
      </c>
      <c r="E377" s="3" t="s">
        <v>1001</v>
      </c>
      <c r="F377" t="e">
        <f>_xlfn.XLOOKUP(A377,[1]邦达数据库!$A:$A,[1]邦达数据库!$C:$C)</f>
        <v>#N/A</v>
      </c>
    </row>
    <row r="378" ht="30" customHeight="1" spans="1:6">
      <c r="A378" s="4" t="s">
        <v>1002</v>
      </c>
      <c r="B378" s="5" t="s">
        <v>995</v>
      </c>
      <c r="C378" s="5" t="s">
        <v>459</v>
      </c>
      <c r="D378" s="5" t="s">
        <v>996</v>
      </c>
      <c r="E378" s="5" t="s">
        <v>997</v>
      </c>
      <c r="F378" t="e">
        <f>_xlfn.XLOOKUP(A378,[1]邦达数据库!$A:$A,[1]邦达数据库!$C:$C)</f>
        <v>#N/A</v>
      </c>
    </row>
    <row r="379" ht="30" customHeight="1" spans="1:6">
      <c r="A379" s="2" t="s">
        <v>1003</v>
      </c>
      <c r="B379" s="3" t="s">
        <v>1004</v>
      </c>
      <c r="C379" s="3" t="s">
        <v>459</v>
      </c>
      <c r="D379" s="3" t="s">
        <v>1005</v>
      </c>
      <c r="E379" s="3" t="s">
        <v>1006</v>
      </c>
      <c r="F379" t="e">
        <f>_xlfn.XLOOKUP(A379,[1]邦达数据库!$A:$A,[1]邦达数据库!$C:$C)</f>
        <v>#N/A</v>
      </c>
    </row>
    <row r="380" ht="30" customHeight="1" spans="1:6">
      <c r="A380" s="4" t="s">
        <v>1007</v>
      </c>
      <c r="B380" s="5" t="s">
        <v>1008</v>
      </c>
      <c r="C380" s="5" t="s">
        <v>819</v>
      </c>
      <c r="D380" s="5" t="s">
        <v>223</v>
      </c>
      <c r="E380" s="5" t="s">
        <v>224</v>
      </c>
      <c r="F380" t="e">
        <f>_xlfn.XLOOKUP(A380,[1]邦达数据库!$A:$A,[1]邦达数据库!$C:$C)</f>
        <v>#N/A</v>
      </c>
    </row>
    <row r="381" ht="30" customHeight="1" spans="1:6">
      <c r="A381" s="2" t="s">
        <v>1009</v>
      </c>
      <c r="B381" s="3" t="s">
        <v>1008</v>
      </c>
      <c r="C381" s="3" t="s">
        <v>819</v>
      </c>
      <c r="D381" s="3" t="s">
        <v>223</v>
      </c>
      <c r="E381" s="3" t="s">
        <v>224</v>
      </c>
      <c r="F381" t="e">
        <f>_xlfn.XLOOKUP(A381,[1]邦达数据库!$A:$A,[1]邦达数据库!$C:$C)</f>
        <v>#N/A</v>
      </c>
    </row>
    <row r="382" ht="30" customHeight="1" spans="1:6">
      <c r="A382" s="4" t="s">
        <v>1010</v>
      </c>
      <c r="B382" s="5" t="s">
        <v>1008</v>
      </c>
      <c r="C382" s="5" t="s">
        <v>148</v>
      </c>
      <c r="D382" s="5" t="s">
        <v>170</v>
      </c>
      <c r="E382" s="5" t="s">
        <v>171</v>
      </c>
      <c r="F382" t="e">
        <f>_xlfn.XLOOKUP(A382,[1]邦达数据库!$A:$A,[1]邦达数据库!$C:$C)</f>
        <v>#N/A</v>
      </c>
    </row>
    <row r="383" ht="30" customHeight="1" spans="1:6">
      <c r="A383" s="2" t="s">
        <v>1011</v>
      </c>
      <c r="B383" s="3" t="s">
        <v>1008</v>
      </c>
      <c r="C383" s="3" t="s">
        <v>819</v>
      </c>
      <c r="D383" s="3" t="s">
        <v>223</v>
      </c>
      <c r="E383" s="3" t="s">
        <v>224</v>
      </c>
      <c r="F383" t="e">
        <f>_xlfn.XLOOKUP(A383,[1]邦达数据库!$A:$A,[1]邦达数据库!$C:$C)</f>
        <v>#N/A</v>
      </c>
    </row>
    <row r="384" ht="30" customHeight="1" spans="1:6">
      <c r="A384" s="4" t="s">
        <v>1012</v>
      </c>
      <c r="B384" s="5" t="s">
        <v>1013</v>
      </c>
      <c r="C384" s="5" t="s">
        <v>1014</v>
      </c>
      <c r="D384" s="5" t="s">
        <v>28</v>
      </c>
      <c r="E384" s="5" t="s">
        <v>29</v>
      </c>
      <c r="F384" t="e">
        <f>_xlfn.XLOOKUP(A384,[1]邦达数据库!$A:$A,[1]邦达数据库!$C:$C)</f>
        <v>#N/A</v>
      </c>
    </row>
    <row r="385" ht="30" customHeight="1" spans="1:6">
      <c r="A385" s="2" t="s">
        <v>1015</v>
      </c>
      <c r="B385" s="3" t="s">
        <v>1013</v>
      </c>
      <c r="C385" s="3" t="s">
        <v>1014</v>
      </c>
      <c r="D385" s="3" t="s">
        <v>28</v>
      </c>
      <c r="E385" s="3" t="s">
        <v>29</v>
      </c>
      <c r="F385" t="e">
        <f>_xlfn.XLOOKUP(A385,[1]邦达数据库!$A:$A,[1]邦达数据库!$C:$C)</f>
        <v>#N/A</v>
      </c>
    </row>
    <row r="386" ht="30" customHeight="1" spans="1:6">
      <c r="A386" s="4" t="s">
        <v>1016</v>
      </c>
      <c r="B386" s="5" t="s">
        <v>1013</v>
      </c>
      <c r="C386" s="5" t="s">
        <v>1014</v>
      </c>
      <c r="D386" s="5" t="s">
        <v>28</v>
      </c>
      <c r="E386" s="5" t="s">
        <v>29</v>
      </c>
      <c r="F386" t="e">
        <f>_xlfn.XLOOKUP(A386,[1]邦达数据库!$A:$A,[1]邦达数据库!$C:$C)</f>
        <v>#N/A</v>
      </c>
    </row>
    <row r="387" ht="30" customHeight="1" spans="1:6">
      <c r="A387" s="2" t="s">
        <v>1017</v>
      </c>
      <c r="B387" s="3" t="s">
        <v>1013</v>
      </c>
      <c r="C387" s="3" t="s">
        <v>1014</v>
      </c>
      <c r="D387" s="3" t="s">
        <v>28</v>
      </c>
      <c r="E387" s="3" t="s">
        <v>29</v>
      </c>
      <c r="F387" t="e">
        <f>_xlfn.XLOOKUP(A387,[1]邦达数据库!$A:$A,[1]邦达数据库!$C:$C)</f>
        <v>#N/A</v>
      </c>
    </row>
    <row r="388" ht="30" customHeight="1" spans="1:6">
      <c r="A388" s="4" t="s">
        <v>1018</v>
      </c>
      <c r="B388" s="5" t="s">
        <v>1019</v>
      </c>
      <c r="C388" s="5" t="s">
        <v>1020</v>
      </c>
      <c r="D388" s="5" t="s">
        <v>237</v>
      </c>
      <c r="E388" s="5" t="s">
        <v>238</v>
      </c>
      <c r="F388" t="e">
        <f>_xlfn.XLOOKUP(A388,[1]邦达数据库!$A:$A,[1]邦达数据库!$C:$C)</f>
        <v>#N/A</v>
      </c>
    </row>
    <row r="389" ht="30" customHeight="1" spans="1:6">
      <c r="A389" s="2" t="s">
        <v>1021</v>
      </c>
      <c r="B389" s="3" t="s">
        <v>1022</v>
      </c>
      <c r="C389" s="3" t="s">
        <v>1023</v>
      </c>
      <c r="D389" s="3" t="s">
        <v>223</v>
      </c>
      <c r="E389" s="3" t="s">
        <v>224</v>
      </c>
      <c r="F389" t="e">
        <f>_xlfn.XLOOKUP(A389,[1]邦达数据库!$A:$A,[1]邦达数据库!$C:$C)</f>
        <v>#N/A</v>
      </c>
    </row>
    <row r="390" ht="30" customHeight="1" spans="1:6">
      <c r="A390" s="4" t="s">
        <v>1024</v>
      </c>
      <c r="B390" s="5" t="s">
        <v>1022</v>
      </c>
      <c r="C390" s="5" t="s">
        <v>1023</v>
      </c>
      <c r="D390" s="5" t="s">
        <v>170</v>
      </c>
      <c r="E390" s="5" t="s">
        <v>171</v>
      </c>
      <c r="F390" t="e">
        <f>_xlfn.XLOOKUP(A390,[1]邦达数据库!$A:$A,[1]邦达数据库!$C:$C)</f>
        <v>#N/A</v>
      </c>
    </row>
    <row r="391" ht="30" customHeight="1" spans="1:6">
      <c r="A391" s="2" t="s">
        <v>1025</v>
      </c>
      <c r="B391" s="3" t="s">
        <v>1026</v>
      </c>
      <c r="C391" s="3" t="s">
        <v>1027</v>
      </c>
      <c r="D391" s="3" t="s">
        <v>1028</v>
      </c>
      <c r="E391" s="3" t="s">
        <v>1029</v>
      </c>
      <c r="F391" t="e">
        <f>_xlfn.XLOOKUP(A391,[1]邦达数据库!$A:$A,[1]邦达数据库!$C:$C)</f>
        <v>#N/A</v>
      </c>
    </row>
    <row r="392" ht="30" customHeight="1" spans="1:6">
      <c r="A392" s="4" t="s">
        <v>1030</v>
      </c>
      <c r="B392" s="5" t="s">
        <v>1026</v>
      </c>
      <c r="C392" s="5" t="s">
        <v>1027</v>
      </c>
      <c r="D392" s="5" t="s">
        <v>1031</v>
      </c>
      <c r="E392" s="5" t="s">
        <v>1032</v>
      </c>
      <c r="F392" t="e">
        <f>_xlfn.XLOOKUP(A392,[1]邦达数据库!$A:$A,[1]邦达数据库!$C:$C)</f>
        <v>#N/A</v>
      </c>
    </row>
    <row r="393" ht="30" customHeight="1" spans="1:6">
      <c r="A393" s="2" t="s">
        <v>1033</v>
      </c>
      <c r="B393" s="3" t="s">
        <v>1026</v>
      </c>
      <c r="C393" s="3" t="s">
        <v>1027</v>
      </c>
      <c r="D393" s="3" t="s">
        <v>1034</v>
      </c>
      <c r="E393" s="3" t="s">
        <v>1035</v>
      </c>
      <c r="F393" t="e">
        <f>_xlfn.XLOOKUP(A393,[1]邦达数据库!$A:$A,[1]邦达数据库!$C:$C)</f>
        <v>#N/A</v>
      </c>
    </row>
    <row r="394" ht="30" customHeight="1" spans="1:6">
      <c r="A394" s="4" t="s">
        <v>1036</v>
      </c>
      <c r="B394" s="5" t="s">
        <v>1037</v>
      </c>
      <c r="C394" s="5" t="s">
        <v>1027</v>
      </c>
      <c r="D394" s="5" t="s">
        <v>1038</v>
      </c>
      <c r="E394" s="5" t="s">
        <v>1039</v>
      </c>
      <c r="F394" t="e">
        <f>_xlfn.XLOOKUP(A394,[1]邦达数据库!$A:$A,[1]邦达数据库!$C:$C)</f>
        <v>#N/A</v>
      </c>
    </row>
    <row r="395" ht="30" customHeight="1" spans="1:6">
      <c r="A395" s="2" t="s">
        <v>1040</v>
      </c>
      <c r="B395" s="3" t="s">
        <v>1041</v>
      </c>
      <c r="C395" s="3" t="s">
        <v>1042</v>
      </c>
      <c r="D395" s="3" t="s">
        <v>170</v>
      </c>
      <c r="E395" s="3" t="s">
        <v>171</v>
      </c>
      <c r="F395" t="e">
        <f>_xlfn.XLOOKUP(A395,[1]邦达数据库!$A:$A,[1]邦达数据库!$C:$C)</f>
        <v>#N/A</v>
      </c>
    </row>
    <row r="396" ht="30" customHeight="1" spans="1:6">
      <c r="A396" s="4" t="s">
        <v>1043</v>
      </c>
      <c r="B396" s="5" t="s">
        <v>1044</v>
      </c>
      <c r="C396" s="5" t="s">
        <v>1045</v>
      </c>
      <c r="D396" s="5" t="s">
        <v>38</v>
      </c>
      <c r="E396" s="5" t="s">
        <v>39</v>
      </c>
      <c r="F396" t="e">
        <f>_xlfn.XLOOKUP(A396,[1]邦达数据库!$A:$A,[1]邦达数据库!$C:$C)</f>
        <v>#N/A</v>
      </c>
    </row>
    <row r="397" ht="30" customHeight="1" spans="1:6">
      <c r="A397" s="2" t="s">
        <v>1046</v>
      </c>
      <c r="B397" s="3" t="s">
        <v>1044</v>
      </c>
      <c r="C397" s="3" t="s">
        <v>1045</v>
      </c>
      <c r="D397" s="3" t="s">
        <v>38</v>
      </c>
      <c r="E397" s="3" t="s">
        <v>39</v>
      </c>
      <c r="F397" t="e">
        <f>_xlfn.XLOOKUP(A397,[1]邦达数据库!$A:$A,[1]邦达数据库!$C:$C)</f>
        <v>#N/A</v>
      </c>
    </row>
    <row r="398" ht="30" customHeight="1" spans="1:6">
      <c r="A398" s="4" t="s">
        <v>1047</v>
      </c>
      <c r="B398" s="5" t="s">
        <v>1044</v>
      </c>
      <c r="C398" s="5" t="s">
        <v>1045</v>
      </c>
      <c r="D398" s="5" t="s">
        <v>38</v>
      </c>
      <c r="E398" s="5" t="s">
        <v>39</v>
      </c>
      <c r="F398" t="e">
        <f>_xlfn.XLOOKUP(A398,[1]邦达数据库!$A:$A,[1]邦达数据库!$C:$C)</f>
        <v>#N/A</v>
      </c>
    </row>
    <row r="399" ht="30" customHeight="1" spans="1:6">
      <c r="A399" s="2" t="s">
        <v>1048</v>
      </c>
      <c r="B399" s="3" t="s">
        <v>1044</v>
      </c>
      <c r="C399" s="3" t="s">
        <v>1045</v>
      </c>
      <c r="D399" s="3" t="s">
        <v>38</v>
      </c>
      <c r="E399" s="3" t="s">
        <v>39</v>
      </c>
      <c r="F399" t="e">
        <f>_xlfn.XLOOKUP(A399,[1]邦达数据库!$A:$A,[1]邦达数据库!$C:$C)</f>
        <v>#N/A</v>
      </c>
    </row>
    <row r="400" ht="30" customHeight="1" spans="1:6">
      <c r="A400" s="4" t="s">
        <v>1049</v>
      </c>
      <c r="B400" s="5" t="s">
        <v>1044</v>
      </c>
      <c r="C400" s="5" t="s">
        <v>1045</v>
      </c>
      <c r="D400" s="5" t="s">
        <v>38</v>
      </c>
      <c r="E400" s="5" t="s">
        <v>39</v>
      </c>
      <c r="F400" t="e">
        <f>_xlfn.XLOOKUP(A400,[1]邦达数据库!$A:$A,[1]邦达数据库!$C:$C)</f>
        <v>#N/A</v>
      </c>
    </row>
    <row r="401" ht="30" customHeight="1" spans="1:6">
      <c r="A401" s="2" t="s">
        <v>1050</v>
      </c>
      <c r="B401" s="3" t="s">
        <v>1044</v>
      </c>
      <c r="C401" s="3" t="s">
        <v>1045</v>
      </c>
      <c r="D401" s="3" t="s">
        <v>38</v>
      </c>
      <c r="E401" s="3" t="s">
        <v>39</v>
      </c>
      <c r="F401" t="e">
        <f>_xlfn.XLOOKUP(A401,[1]邦达数据库!$A:$A,[1]邦达数据库!$C:$C)</f>
        <v>#N/A</v>
      </c>
    </row>
    <row r="402" ht="30" customHeight="1" spans="1:6">
      <c r="A402" s="4" t="s">
        <v>1051</v>
      </c>
      <c r="B402" s="5" t="s">
        <v>1044</v>
      </c>
      <c r="C402" s="5" t="s">
        <v>1045</v>
      </c>
      <c r="D402" s="5" t="s">
        <v>1052</v>
      </c>
      <c r="E402" s="5" t="s">
        <v>1053</v>
      </c>
      <c r="F402" t="e">
        <f>_xlfn.XLOOKUP(A402,[1]邦达数据库!$A:$A,[1]邦达数据库!$C:$C)</f>
        <v>#N/A</v>
      </c>
    </row>
    <row r="403" ht="30" customHeight="1" spans="1:6">
      <c r="A403" s="2" t="s">
        <v>1054</v>
      </c>
      <c r="B403" s="3" t="s">
        <v>1044</v>
      </c>
      <c r="C403" s="3" t="s">
        <v>1045</v>
      </c>
      <c r="D403" s="3" t="s">
        <v>38</v>
      </c>
      <c r="E403" s="3" t="s">
        <v>39</v>
      </c>
      <c r="F403" t="e">
        <f>_xlfn.XLOOKUP(A403,[1]邦达数据库!$A:$A,[1]邦达数据库!$C:$C)</f>
        <v>#N/A</v>
      </c>
    </row>
    <row r="404" ht="30" customHeight="1" spans="1:6">
      <c r="A404" s="4" t="s">
        <v>1055</v>
      </c>
      <c r="B404" s="5" t="s">
        <v>1056</v>
      </c>
      <c r="C404" s="5" t="s">
        <v>1045</v>
      </c>
      <c r="D404" s="5" t="s">
        <v>1057</v>
      </c>
      <c r="E404" s="5" t="s">
        <v>1058</v>
      </c>
      <c r="F404" t="e">
        <f>_xlfn.XLOOKUP(A404,[1]邦达数据库!$A:$A,[1]邦达数据库!$C:$C)</f>
        <v>#N/A</v>
      </c>
    </row>
    <row r="405" ht="30" customHeight="1" spans="1:6">
      <c r="A405" s="2" t="s">
        <v>1059</v>
      </c>
      <c r="B405" s="3" t="s">
        <v>1060</v>
      </c>
      <c r="C405" s="3" t="s">
        <v>1045</v>
      </c>
      <c r="D405" s="3" t="s">
        <v>250</v>
      </c>
      <c r="E405" s="3" t="s">
        <v>251</v>
      </c>
      <c r="F405" t="e">
        <f>_xlfn.XLOOKUP(A405,[1]邦达数据库!$A:$A,[1]邦达数据库!$C:$C)</f>
        <v>#N/A</v>
      </c>
    </row>
    <row r="406" ht="30" customHeight="1" spans="1:6">
      <c r="A406" s="4" t="s">
        <v>1061</v>
      </c>
      <c r="B406" s="5" t="s">
        <v>1060</v>
      </c>
      <c r="C406" s="5" t="s">
        <v>1045</v>
      </c>
      <c r="D406" s="5" t="s">
        <v>582</v>
      </c>
      <c r="E406" s="5" t="s">
        <v>583</v>
      </c>
      <c r="F406" t="e">
        <f>_xlfn.XLOOKUP(A406,[1]邦达数据库!$A:$A,[1]邦达数据库!$C:$C)</f>
        <v>#N/A</v>
      </c>
    </row>
    <row r="407" ht="30" customHeight="1" spans="1:6">
      <c r="A407" s="2" t="s">
        <v>1062</v>
      </c>
      <c r="B407" s="3" t="s">
        <v>1060</v>
      </c>
      <c r="C407" s="3" t="s">
        <v>1045</v>
      </c>
      <c r="D407" s="3" t="s">
        <v>582</v>
      </c>
      <c r="E407" s="3" t="s">
        <v>583</v>
      </c>
      <c r="F407" t="e">
        <f>_xlfn.XLOOKUP(A407,[1]邦达数据库!$A:$A,[1]邦达数据库!$C:$C)</f>
        <v>#N/A</v>
      </c>
    </row>
    <row r="408" ht="30" customHeight="1" spans="1:6">
      <c r="A408" s="4" t="s">
        <v>1063</v>
      </c>
      <c r="B408" s="5" t="s">
        <v>1064</v>
      </c>
      <c r="C408" s="5" t="s">
        <v>1065</v>
      </c>
      <c r="D408" s="5" t="s">
        <v>250</v>
      </c>
      <c r="E408" s="5" t="s">
        <v>251</v>
      </c>
      <c r="F408" t="e">
        <f>_xlfn.XLOOKUP(A408,[1]邦达数据库!$A:$A,[1]邦达数据库!$C:$C)</f>
        <v>#N/A</v>
      </c>
    </row>
    <row r="409" ht="30" customHeight="1" spans="1:6">
      <c r="A409" s="2" t="s">
        <v>1066</v>
      </c>
      <c r="B409" s="3" t="s">
        <v>1064</v>
      </c>
      <c r="C409" s="3" t="s">
        <v>1065</v>
      </c>
      <c r="D409" s="3" t="s">
        <v>579</v>
      </c>
      <c r="E409" s="3" t="s">
        <v>580</v>
      </c>
      <c r="F409" t="e">
        <f>_xlfn.XLOOKUP(A409,[1]邦达数据库!$A:$A,[1]邦达数据库!$C:$C)</f>
        <v>#N/A</v>
      </c>
    </row>
    <row r="410" ht="30" customHeight="1" spans="1:6">
      <c r="A410" s="4" t="s">
        <v>1067</v>
      </c>
      <c r="B410" s="5" t="s">
        <v>1064</v>
      </c>
      <c r="C410" s="5" t="s">
        <v>1065</v>
      </c>
      <c r="D410" s="5" t="s">
        <v>250</v>
      </c>
      <c r="E410" s="5" t="s">
        <v>251</v>
      </c>
      <c r="F410" t="e">
        <f>_xlfn.XLOOKUP(A410,[1]邦达数据库!$A:$A,[1]邦达数据库!$C:$C)</f>
        <v>#N/A</v>
      </c>
    </row>
    <row r="411" ht="30" customHeight="1" spans="1:6">
      <c r="A411" s="2" t="s">
        <v>1068</v>
      </c>
      <c r="B411" s="3" t="s">
        <v>1064</v>
      </c>
      <c r="C411" s="3" t="s">
        <v>1065</v>
      </c>
      <c r="D411" s="3" t="s">
        <v>1069</v>
      </c>
      <c r="E411" s="3" t="s">
        <v>1070</v>
      </c>
      <c r="F411" t="e">
        <f>_xlfn.XLOOKUP(A411,[1]邦达数据库!$A:$A,[1]邦达数据库!$C:$C)</f>
        <v>#N/A</v>
      </c>
    </row>
    <row r="412" ht="30" customHeight="1" spans="1:6">
      <c r="A412" s="4" t="s">
        <v>1071</v>
      </c>
      <c r="B412" s="5" t="s">
        <v>1064</v>
      </c>
      <c r="C412" s="5" t="s">
        <v>1065</v>
      </c>
      <c r="D412" s="5" t="s">
        <v>582</v>
      </c>
      <c r="E412" s="5" t="s">
        <v>583</v>
      </c>
      <c r="F412" t="e">
        <f>_xlfn.XLOOKUP(A412,[1]邦达数据库!$A:$A,[1]邦达数据库!$C:$C)</f>
        <v>#N/A</v>
      </c>
    </row>
    <row r="413" ht="30" customHeight="1" spans="1:6">
      <c r="A413" s="2" t="s">
        <v>1072</v>
      </c>
      <c r="B413" s="3" t="s">
        <v>1064</v>
      </c>
      <c r="C413" s="3" t="s">
        <v>1065</v>
      </c>
      <c r="D413" s="3" t="s">
        <v>250</v>
      </c>
      <c r="E413" s="3" t="s">
        <v>251</v>
      </c>
      <c r="F413" t="e">
        <f>_xlfn.XLOOKUP(A413,[1]邦达数据库!$A:$A,[1]邦达数据库!$C:$C)</f>
        <v>#N/A</v>
      </c>
    </row>
    <row r="414" ht="30" customHeight="1" spans="1:6">
      <c r="A414" s="4" t="s">
        <v>1073</v>
      </c>
      <c r="B414" s="5" t="s">
        <v>1064</v>
      </c>
      <c r="C414" s="5" t="s">
        <v>1065</v>
      </c>
      <c r="D414" s="5" t="s">
        <v>250</v>
      </c>
      <c r="E414" s="5" t="s">
        <v>251</v>
      </c>
      <c r="F414" t="e">
        <f>_xlfn.XLOOKUP(A414,[1]邦达数据库!$A:$A,[1]邦达数据库!$C:$C)</f>
        <v>#N/A</v>
      </c>
    </row>
    <row r="415" ht="30" customHeight="1" spans="1:6">
      <c r="A415" s="2" t="s">
        <v>1074</v>
      </c>
      <c r="B415" s="3" t="s">
        <v>1064</v>
      </c>
      <c r="C415" s="3" t="s">
        <v>1065</v>
      </c>
      <c r="D415" s="3" t="s">
        <v>1069</v>
      </c>
      <c r="E415" s="3" t="s">
        <v>1070</v>
      </c>
      <c r="F415" t="e">
        <f>_xlfn.XLOOKUP(A415,[1]邦达数据库!$A:$A,[1]邦达数据库!$C:$C)</f>
        <v>#N/A</v>
      </c>
    </row>
    <row r="416" ht="30" customHeight="1" spans="1:6">
      <c r="A416" s="4" t="s">
        <v>1075</v>
      </c>
      <c r="B416" s="5" t="s">
        <v>1064</v>
      </c>
      <c r="C416" s="5" t="s">
        <v>1065</v>
      </c>
      <c r="D416" s="5" t="s">
        <v>1076</v>
      </c>
      <c r="E416" s="5" t="s">
        <v>1077</v>
      </c>
      <c r="F416" t="e">
        <f>_xlfn.XLOOKUP(A416,[1]邦达数据库!$A:$A,[1]邦达数据库!$C:$C)</f>
        <v>#N/A</v>
      </c>
    </row>
    <row r="417" ht="30" customHeight="1" spans="1:6">
      <c r="A417" s="2" t="s">
        <v>1078</v>
      </c>
      <c r="B417" s="3" t="s">
        <v>1079</v>
      </c>
      <c r="C417" s="3" t="s">
        <v>1080</v>
      </c>
      <c r="D417" s="3" t="s">
        <v>1081</v>
      </c>
      <c r="E417" s="3" t="s">
        <v>1082</v>
      </c>
      <c r="F417" t="e">
        <f>_xlfn.XLOOKUP(A417,[1]邦达数据库!$A:$A,[1]邦达数据库!$C:$C)</f>
        <v>#N/A</v>
      </c>
    </row>
    <row r="418" ht="30" customHeight="1" spans="1:6">
      <c r="A418" s="4" t="s">
        <v>1083</v>
      </c>
      <c r="B418" s="5" t="s">
        <v>1079</v>
      </c>
      <c r="C418" s="5" t="s">
        <v>1080</v>
      </c>
      <c r="D418" s="5" t="s">
        <v>217</v>
      </c>
      <c r="E418" s="5" t="s">
        <v>218</v>
      </c>
      <c r="F418" t="e">
        <f>_xlfn.XLOOKUP(A418,[1]邦达数据库!$A:$A,[1]邦达数据库!$C:$C)</f>
        <v>#N/A</v>
      </c>
    </row>
    <row r="419" ht="30" customHeight="1" spans="1:6">
      <c r="A419" s="2" t="s">
        <v>1084</v>
      </c>
      <c r="B419" s="3" t="s">
        <v>1079</v>
      </c>
      <c r="C419" s="3" t="s">
        <v>1080</v>
      </c>
      <c r="D419" s="3" t="s">
        <v>1081</v>
      </c>
      <c r="E419" s="3" t="s">
        <v>1082</v>
      </c>
      <c r="F419" t="e">
        <f>_xlfn.XLOOKUP(A419,[1]邦达数据库!$A:$A,[1]邦达数据库!$C:$C)</f>
        <v>#N/A</v>
      </c>
    </row>
    <row r="420" ht="30" customHeight="1" spans="1:6">
      <c r="A420" s="4" t="s">
        <v>1085</v>
      </c>
      <c r="B420" s="5" t="s">
        <v>1079</v>
      </c>
      <c r="C420" s="5" t="s">
        <v>1080</v>
      </c>
      <c r="D420" s="5" t="s">
        <v>117</v>
      </c>
      <c r="E420" s="5" t="s">
        <v>118</v>
      </c>
      <c r="F420" t="e">
        <f>_xlfn.XLOOKUP(A420,[1]邦达数据库!$A:$A,[1]邦达数据库!$C:$C)</f>
        <v>#N/A</v>
      </c>
    </row>
    <row r="421" ht="30" customHeight="1" spans="1:6">
      <c r="A421" s="2" t="s">
        <v>1086</v>
      </c>
      <c r="B421" s="3" t="s">
        <v>1087</v>
      </c>
      <c r="C421" s="3" t="s">
        <v>17</v>
      </c>
      <c r="D421" s="3" t="s">
        <v>1088</v>
      </c>
      <c r="E421" s="3" t="s">
        <v>1089</v>
      </c>
      <c r="F421" t="e">
        <f>_xlfn.XLOOKUP(A421,[1]邦达数据库!$A:$A,[1]邦达数据库!$C:$C)</f>
        <v>#N/A</v>
      </c>
    </row>
    <row r="422" ht="30" customHeight="1" spans="1:6">
      <c r="A422" s="4" t="s">
        <v>1090</v>
      </c>
      <c r="B422" s="5" t="s">
        <v>1087</v>
      </c>
      <c r="C422" s="5" t="s">
        <v>17</v>
      </c>
      <c r="D422" s="5" t="s">
        <v>1091</v>
      </c>
      <c r="E422" s="5" t="s">
        <v>1092</v>
      </c>
      <c r="F422" t="e">
        <f>_xlfn.XLOOKUP(A422,[1]邦达数据库!$A:$A,[1]邦达数据库!$C:$C)</f>
        <v>#N/A</v>
      </c>
    </row>
    <row r="423" ht="30" customHeight="1" spans="1:6">
      <c r="A423" s="2" t="s">
        <v>1093</v>
      </c>
      <c r="B423" s="3" t="s">
        <v>1094</v>
      </c>
      <c r="C423" s="3" t="s">
        <v>1042</v>
      </c>
      <c r="D423" s="3" t="s">
        <v>250</v>
      </c>
      <c r="E423" s="3" t="s">
        <v>251</v>
      </c>
      <c r="F423" t="e">
        <f>_xlfn.XLOOKUP(A423,[1]邦达数据库!$A:$A,[1]邦达数据库!$C:$C)</f>
        <v>#N/A</v>
      </c>
    </row>
    <row r="424" ht="30" customHeight="1" spans="1:6">
      <c r="A424" s="4" t="s">
        <v>1095</v>
      </c>
      <c r="B424" s="5" t="s">
        <v>1096</v>
      </c>
      <c r="C424" s="5" t="s">
        <v>597</v>
      </c>
      <c r="D424" s="5" t="s">
        <v>1097</v>
      </c>
      <c r="E424" s="5" t="s">
        <v>1098</v>
      </c>
      <c r="F424" t="e">
        <f>_xlfn.XLOOKUP(A424,[1]邦达数据库!$A:$A,[1]邦达数据库!$C:$C)</f>
        <v>#N/A</v>
      </c>
    </row>
    <row r="425" ht="30" customHeight="1" spans="1:6">
      <c r="A425" s="2" t="s">
        <v>1099</v>
      </c>
      <c r="B425" s="3" t="s">
        <v>1096</v>
      </c>
      <c r="C425" s="3" t="s">
        <v>597</v>
      </c>
      <c r="D425" s="3" t="s">
        <v>1100</v>
      </c>
      <c r="E425" s="3" t="s">
        <v>1101</v>
      </c>
      <c r="F425" t="e">
        <f>_xlfn.XLOOKUP(A425,[1]邦达数据库!$A:$A,[1]邦达数据库!$C:$C)</f>
        <v>#N/A</v>
      </c>
    </row>
    <row r="426" ht="30" customHeight="1" spans="1:6">
      <c r="A426" s="4" t="s">
        <v>1102</v>
      </c>
      <c r="B426" s="5" t="s">
        <v>1096</v>
      </c>
      <c r="C426" s="5" t="s">
        <v>597</v>
      </c>
      <c r="D426" s="5" t="s">
        <v>1097</v>
      </c>
      <c r="E426" s="5" t="s">
        <v>1098</v>
      </c>
      <c r="F426" t="e">
        <f>_xlfn.XLOOKUP(A426,[1]邦达数据库!$A:$A,[1]邦达数据库!$C:$C)</f>
        <v>#N/A</v>
      </c>
    </row>
    <row r="427" ht="30" customHeight="1" spans="1:6">
      <c r="A427" s="2" t="s">
        <v>1103</v>
      </c>
      <c r="B427" s="3" t="s">
        <v>1096</v>
      </c>
      <c r="C427" s="3" t="s">
        <v>597</v>
      </c>
      <c r="D427" s="3" t="s">
        <v>1104</v>
      </c>
      <c r="E427" s="3" t="s">
        <v>1105</v>
      </c>
      <c r="F427" t="e">
        <f>_xlfn.XLOOKUP(A427,[1]邦达数据库!$A:$A,[1]邦达数据库!$C:$C)</f>
        <v>#N/A</v>
      </c>
    </row>
    <row r="428" ht="30" customHeight="1" spans="1:6">
      <c r="A428" s="4" t="s">
        <v>1106</v>
      </c>
      <c r="B428" s="5" t="s">
        <v>1107</v>
      </c>
      <c r="C428" s="5" t="s">
        <v>1108</v>
      </c>
      <c r="D428" s="5" t="s">
        <v>711</v>
      </c>
      <c r="E428" s="5" t="s">
        <v>712</v>
      </c>
      <c r="F428" t="e">
        <f>_xlfn.XLOOKUP(A428,[1]邦达数据库!$A:$A,[1]邦达数据库!$C:$C)</f>
        <v>#N/A</v>
      </c>
    </row>
    <row r="429" ht="30" customHeight="1" spans="1:6">
      <c r="A429" s="2" t="s">
        <v>1109</v>
      </c>
      <c r="B429" s="3" t="s">
        <v>1107</v>
      </c>
      <c r="C429" s="3" t="s">
        <v>1108</v>
      </c>
      <c r="D429" s="3" t="s">
        <v>1110</v>
      </c>
      <c r="E429" s="3" t="s">
        <v>1111</v>
      </c>
      <c r="F429" t="e">
        <f>_xlfn.XLOOKUP(A429,[1]邦达数据库!$A:$A,[1]邦达数据库!$C:$C)</f>
        <v>#N/A</v>
      </c>
    </row>
    <row r="430" ht="30" customHeight="1" spans="1:6">
      <c r="A430" s="4" t="s">
        <v>1112</v>
      </c>
      <c r="B430" s="5" t="s">
        <v>1107</v>
      </c>
      <c r="C430" s="5" t="s">
        <v>1108</v>
      </c>
      <c r="D430" s="5" t="s">
        <v>1110</v>
      </c>
      <c r="E430" s="5" t="s">
        <v>1111</v>
      </c>
      <c r="F430" t="e">
        <f>_xlfn.XLOOKUP(A430,[1]邦达数据库!$A:$A,[1]邦达数据库!$C:$C)</f>
        <v>#N/A</v>
      </c>
    </row>
    <row r="431" ht="30" customHeight="1" spans="1:6">
      <c r="A431" s="2" t="s">
        <v>1113</v>
      </c>
      <c r="B431" s="3" t="s">
        <v>1114</v>
      </c>
      <c r="C431" s="3" t="s">
        <v>1115</v>
      </c>
      <c r="D431" s="3" t="s">
        <v>1116</v>
      </c>
      <c r="E431" s="3" t="s">
        <v>1117</v>
      </c>
      <c r="F431" t="e">
        <f>_xlfn.XLOOKUP(A431,[1]邦达数据库!$A:$A,[1]邦达数据库!$C:$C)</f>
        <v>#N/A</v>
      </c>
    </row>
    <row r="432" ht="30" customHeight="1" spans="1:6">
      <c r="A432" s="4" t="s">
        <v>1118</v>
      </c>
      <c r="B432" s="5" t="s">
        <v>1114</v>
      </c>
      <c r="C432" s="5" t="s">
        <v>1119</v>
      </c>
      <c r="D432" s="5" t="s">
        <v>1120</v>
      </c>
      <c r="E432" s="5" t="s">
        <v>1121</v>
      </c>
      <c r="F432" t="e">
        <f>_xlfn.XLOOKUP(A432,[1]邦达数据库!$A:$A,[1]邦达数据库!$C:$C)</f>
        <v>#N/A</v>
      </c>
    </row>
    <row r="433" ht="30" customHeight="1" spans="1:6">
      <c r="A433" s="2" t="s">
        <v>1122</v>
      </c>
      <c r="B433" s="3" t="s">
        <v>1114</v>
      </c>
      <c r="C433" s="3" t="s">
        <v>1065</v>
      </c>
      <c r="D433" s="3" t="s">
        <v>1123</v>
      </c>
      <c r="E433" s="3" t="s">
        <v>1124</v>
      </c>
      <c r="F433" t="e">
        <f>_xlfn.XLOOKUP(A433,[1]邦达数据库!$A:$A,[1]邦达数据库!$C:$C)</f>
        <v>#N/A</v>
      </c>
    </row>
    <row r="434" ht="30" customHeight="1" spans="1:6">
      <c r="A434" s="4" t="s">
        <v>1125</v>
      </c>
      <c r="B434" s="5" t="s">
        <v>1114</v>
      </c>
      <c r="C434" s="5" t="s">
        <v>1065</v>
      </c>
      <c r="D434" s="5" t="s">
        <v>79</v>
      </c>
      <c r="E434" s="5" t="s">
        <v>80</v>
      </c>
      <c r="F434" t="e">
        <f>_xlfn.XLOOKUP(A434,[1]邦达数据库!$A:$A,[1]邦达数据库!$C:$C)</f>
        <v>#N/A</v>
      </c>
    </row>
    <row r="435" ht="30" customHeight="1" spans="1:6">
      <c r="A435" s="2" t="s">
        <v>1126</v>
      </c>
      <c r="B435" s="3" t="s">
        <v>1114</v>
      </c>
      <c r="C435" s="3" t="s">
        <v>1065</v>
      </c>
      <c r="D435" s="3" t="s">
        <v>217</v>
      </c>
      <c r="E435" s="3" t="s">
        <v>218</v>
      </c>
      <c r="F435" t="e">
        <f>_xlfn.XLOOKUP(A435,[1]邦达数据库!$A:$A,[1]邦达数据库!$C:$C)</f>
        <v>#N/A</v>
      </c>
    </row>
    <row r="436" ht="30" customHeight="1" spans="1:6">
      <c r="A436" s="4" t="s">
        <v>1127</v>
      </c>
      <c r="B436" s="5" t="s">
        <v>1114</v>
      </c>
      <c r="C436" s="5" t="s">
        <v>1115</v>
      </c>
      <c r="D436" s="5" t="s">
        <v>1116</v>
      </c>
      <c r="E436" s="5" t="s">
        <v>1117</v>
      </c>
      <c r="F436" t="e">
        <f>_xlfn.XLOOKUP(A436,[1]邦达数据库!$A:$A,[1]邦达数据库!$C:$C)</f>
        <v>#N/A</v>
      </c>
    </row>
    <row r="437" ht="30" customHeight="1" spans="1:6">
      <c r="A437" s="2" t="s">
        <v>1128</v>
      </c>
      <c r="B437" s="3" t="s">
        <v>1114</v>
      </c>
      <c r="C437" s="3" t="s">
        <v>1065</v>
      </c>
      <c r="D437" s="3" t="s">
        <v>301</v>
      </c>
      <c r="E437" s="3" t="s">
        <v>302</v>
      </c>
      <c r="F437" t="e">
        <f>_xlfn.XLOOKUP(A437,[1]邦达数据库!$A:$A,[1]邦达数据库!$C:$C)</f>
        <v>#N/A</v>
      </c>
    </row>
    <row r="438" ht="30" customHeight="1" spans="1:6">
      <c r="A438" s="4" t="s">
        <v>1129</v>
      </c>
      <c r="B438" s="5" t="s">
        <v>1114</v>
      </c>
      <c r="C438" s="5" t="s">
        <v>1119</v>
      </c>
      <c r="D438" s="5" t="s">
        <v>1130</v>
      </c>
      <c r="E438" s="5" t="s">
        <v>1131</v>
      </c>
      <c r="F438" t="e">
        <f>_xlfn.XLOOKUP(A438,[1]邦达数据库!$A:$A,[1]邦达数据库!$C:$C)</f>
        <v>#N/A</v>
      </c>
    </row>
    <row r="439" ht="30" customHeight="1" spans="1:6">
      <c r="A439" s="2" t="s">
        <v>1132</v>
      </c>
      <c r="B439" s="3" t="s">
        <v>1114</v>
      </c>
      <c r="C439" s="3" t="s">
        <v>1119</v>
      </c>
      <c r="D439" s="3" t="s">
        <v>1133</v>
      </c>
      <c r="E439" s="3" t="s">
        <v>1134</v>
      </c>
      <c r="F439" t="e">
        <f>_xlfn.XLOOKUP(A439,[1]邦达数据库!$A:$A,[1]邦达数据库!$C:$C)</f>
        <v>#N/A</v>
      </c>
    </row>
    <row r="440" ht="30" customHeight="1" spans="1:6">
      <c r="A440" s="4" t="s">
        <v>1135</v>
      </c>
      <c r="B440" s="5" t="s">
        <v>1114</v>
      </c>
      <c r="C440" s="5" t="s">
        <v>1115</v>
      </c>
      <c r="D440" s="5" t="s">
        <v>1116</v>
      </c>
      <c r="E440" s="5" t="s">
        <v>1117</v>
      </c>
      <c r="F440" t="e">
        <f>_xlfn.XLOOKUP(A440,[1]邦达数据库!$A:$A,[1]邦达数据库!$C:$C)</f>
        <v>#N/A</v>
      </c>
    </row>
    <row r="441" ht="30" customHeight="1" spans="1:6">
      <c r="A441" s="2" t="s">
        <v>1136</v>
      </c>
      <c r="B441" s="3" t="s">
        <v>1114</v>
      </c>
      <c r="C441" s="3" t="s">
        <v>1119</v>
      </c>
      <c r="D441" s="3" t="s">
        <v>1133</v>
      </c>
      <c r="E441" s="3" t="s">
        <v>1134</v>
      </c>
      <c r="F441" t="e">
        <f>_xlfn.XLOOKUP(A441,[1]邦达数据库!$A:$A,[1]邦达数据库!$C:$C)</f>
        <v>#N/A</v>
      </c>
    </row>
    <row r="442" ht="30" customHeight="1" spans="1:6">
      <c r="A442" s="4" t="s">
        <v>1137</v>
      </c>
      <c r="B442" s="5" t="s">
        <v>1138</v>
      </c>
      <c r="C442" s="5" t="s">
        <v>597</v>
      </c>
      <c r="D442" s="5" t="s">
        <v>598</v>
      </c>
      <c r="E442" s="5" t="s">
        <v>599</v>
      </c>
      <c r="F442" t="e">
        <f>_xlfn.XLOOKUP(A442,[1]邦达数据库!$A:$A,[1]邦达数据库!$C:$C)</f>
        <v>#N/A</v>
      </c>
    </row>
    <row r="443" ht="30" customHeight="1" spans="1:6">
      <c r="A443" s="2" t="s">
        <v>1139</v>
      </c>
      <c r="B443" s="3" t="s">
        <v>1140</v>
      </c>
      <c r="C443" s="3" t="s">
        <v>1141</v>
      </c>
      <c r="D443" s="3" t="s">
        <v>1000</v>
      </c>
      <c r="E443" s="3" t="s">
        <v>1001</v>
      </c>
      <c r="F443" t="e">
        <f>_xlfn.XLOOKUP(A443,[1]邦达数据库!$A:$A,[1]邦达数据库!$C:$C)</f>
        <v>#N/A</v>
      </c>
    </row>
    <row r="444" ht="30" customHeight="1" spans="1:6">
      <c r="A444" s="4" t="s">
        <v>1142</v>
      </c>
      <c r="B444" s="5" t="s">
        <v>1140</v>
      </c>
      <c r="C444" s="5" t="s">
        <v>1141</v>
      </c>
      <c r="D444" s="5" t="s">
        <v>1143</v>
      </c>
      <c r="E444" s="5" t="s">
        <v>1144</v>
      </c>
      <c r="F444" t="e">
        <f>_xlfn.XLOOKUP(A444,[1]邦达数据库!$A:$A,[1]邦达数据库!$C:$C)</f>
        <v>#N/A</v>
      </c>
    </row>
    <row r="445" ht="30" customHeight="1" spans="1:6">
      <c r="A445" s="2" t="s">
        <v>1145</v>
      </c>
      <c r="B445" s="3" t="s">
        <v>1146</v>
      </c>
      <c r="C445" s="3" t="s">
        <v>865</v>
      </c>
      <c r="D445" s="3" t="s">
        <v>9</v>
      </c>
      <c r="E445" s="3" t="s">
        <v>10</v>
      </c>
      <c r="F445" t="e">
        <f>_xlfn.XLOOKUP(A445,[1]邦达数据库!$A:$A,[1]邦达数据库!$C:$C)</f>
        <v>#N/A</v>
      </c>
    </row>
    <row r="446" ht="30" customHeight="1" spans="1:6">
      <c r="A446" s="4" t="s">
        <v>1147</v>
      </c>
      <c r="B446" s="5" t="s">
        <v>1146</v>
      </c>
      <c r="C446" s="5" t="s">
        <v>865</v>
      </c>
      <c r="D446" s="5" t="s">
        <v>94</v>
      </c>
      <c r="E446" s="5" t="s">
        <v>95</v>
      </c>
      <c r="F446" t="e">
        <f>_xlfn.XLOOKUP(A446,[1]邦达数据库!$A:$A,[1]邦达数据库!$C:$C)</f>
        <v>#N/A</v>
      </c>
    </row>
    <row r="447" ht="30" customHeight="1" spans="1:6">
      <c r="A447" s="2" t="s">
        <v>1148</v>
      </c>
      <c r="B447" s="3" t="s">
        <v>1149</v>
      </c>
      <c r="C447" s="3" t="s">
        <v>1150</v>
      </c>
      <c r="D447" s="3" t="s">
        <v>1151</v>
      </c>
      <c r="E447" s="3" t="s">
        <v>1152</v>
      </c>
      <c r="F447" t="e">
        <f>_xlfn.XLOOKUP(A447,[1]邦达数据库!$A:$A,[1]邦达数据库!$C:$C)</f>
        <v>#N/A</v>
      </c>
    </row>
    <row r="448" ht="30" customHeight="1" spans="1:6">
      <c r="A448" s="4" t="s">
        <v>1153</v>
      </c>
      <c r="B448" s="5" t="s">
        <v>731</v>
      </c>
      <c r="C448" s="5" t="s">
        <v>732</v>
      </c>
      <c r="D448" s="5" t="s">
        <v>9</v>
      </c>
      <c r="E448" s="5" t="s">
        <v>10</v>
      </c>
      <c r="F448" t="e">
        <f>_xlfn.XLOOKUP(A448,[1]邦达数据库!$A:$A,[1]邦达数据库!$C:$C)</f>
        <v>#N/A</v>
      </c>
    </row>
    <row r="449" ht="30" customHeight="1" spans="1:6">
      <c r="A449" s="2" t="s">
        <v>1154</v>
      </c>
      <c r="B449" s="3" t="s">
        <v>1155</v>
      </c>
      <c r="C449" s="3" t="s">
        <v>1156</v>
      </c>
      <c r="D449" s="3" t="s">
        <v>1157</v>
      </c>
      <c r="E449" s="3" t="s">
        <v>1158</v>
      </c>
      <c r="F449" t="e">
        <f>_xlfn.XLOOKUP(A449,[1]邦达数据库!$A:$A,[1]邦达数据库!$C:$C)</f>
        <v>#N/A</v>
      </c>
    </row>
    <row r="450" ht="30" customHeight="1" spans="1:6">
      <c r="A450" s="4" t="s">
        <v>1159</v>
      </c>
      <c r="B450" s="5" t="s">
        <v>1155</v>
      </c>
      <c r="C450" s="5" t="s">
        <v>1156</v>
      </c>
      <c r="D450" s="5" t="s">
        <v>1160</v>
      </c>
      <c r="E450" s="5" t="s">
        <v>1161</v>
      </c>
      <c r="F450" t="e">
        <f>_xlfn.XLOOKUP(A450,[1]邦达数据库!$A:$A,[1]邦达数据库!$C:$C)</f>
        <v>#N/A</v>
      </c>
    </row>
    <row r="451" ht="30" customHeight="1" spans="1:6">
      <c r="A451" s="2" t="s">
        <v>1162</v>
      </c>
      <c r="B451" s="3" t="s">
        <v>1155</v>
      </c>
      <c r="C451" s="3" t="s">
        <v>1156</v>
      </c>
      <c r="D451" s="3" t="s">
        <v>1163</v>
      </c>
      <c r="E451" s="3" t="s">
        <v>1164</v>
      </c>
      <c r="F451" t="e">
        <f>_xlfn.XLOOKUP(A451,[1]邦达数据库!$A:$A,[1]邦达数据库!$C:$C)</f>
        <v>#N/A</v>
      </c>
    </row>
    <row r="452" ht="30" customHeight="1" spans="1:6">
      <c r="A452" s="4" t="s">
        <v>1165</v>
      </c>
      <c r="B452" s="5" t="s">
        <v>1166</v>
      </c>
      <c r="C452" s="5" t="s">
        <v>1167</v>
      </c>
      <c r="D452" s="5" t="s">
        <v>170</v>
      </c>
      <c r="E452" s="5" t="s">
        <v>171</v>
      </c>
      <c r="F452" t="e">
        <f>_xlfn.XLOOKUP(A452,[1]邦达数据库!$A:$A,[1]邦达数据库!$C:$C)</f>
        <v>#N/A</v>
      </c>
    </row>
    <row r="453" ht="30" customHeight="1" spans="1:6">
      <c r="A453" s="2" t="s">
        <v>1168</v>
      </c>
      <c r="B453" s="3" t="s">
        <v>1166</v>
      </c>
      <c r="C453" s="3" t="s">
        <v>1167</v>
      </c>
      <c r="D453" s="3" t="s">
        <v>170</v>
      </c>
      <c r="E453" s="3" t="s">
        <v>171</v>
      </c>
      <c r="F453" t="e">
        <f>_xlfn.XLOOKUP(A453,[1]邦达数据库!$A:$A,[1]邦达数据库!$C:$C)</f>
        <v>#N/A</v>
      </c>
    </row>
    <row r="454" ht="30" customHeight="1" spans="1:6">
      <c r="A454" s="4" t="s">
        <v>1169</v>
      </c>
      <c r="B454" s="5" t="s">
        <v>1166</v>
      </c>
      <c r="C454" s="5" t="s">
        <v>1167</v>
      </c>
      <c r="D454" s="5" t="s">
        <v>170</v>
      </c>
      <c r="E454" s="5" t="s">
        <v>171</v>
      </c>
      <c r="F454" t="e">
        <f>_xlfn.XLOOKUP(A454,[1]邦达数据库!$A:$A,[1]邦达数据库!$C:$C)</f>
        <v>#N/A</v>
      </c>
    </row>
    <row r="455" ht="30" customHeight="1" spans="1:6">
      <c r="A455" s="2" t="s">
        <v>1170</v>
      </c>
      <c r="B455" s="3" t="s">
        <v>1166</v>
      </c>
      <c r="C455" s="3" t="s">
        <v>1167</v>
      </c>
      <c r="D455" s="3" t="s">
        <v>170</v>
      </c>
      <c r="E455" s="3" t="s">
        <v>171</v>
      </c>
      <c r="F455" t="e">
        <f>_xlfn.XLOOKUP(A455,[1]邦达数据库!$A:$A,[1]邦达数据库!$C:$C)</f>
        <v>#N/A</v>
      </c>
    </row>
    <row r="456" ht="30" customHeight="1" spans="1:6">
      <c r="A456" s="4" t="s">
        <v>1171</v>
      </c>
      <c r="B456" s="5" t="s">
        <v>1166</v>
      </c>
      <c r="C456" s="5" t="s">
        <v>1172</v>
      </c>
      <c r="D456" s="5" t="s">
        <v>99</v>
      </c>
      <c r="E456" s="5" t="s">
        <v>100</v>
      </c>
      <c r="F456" t="e">
        <f>_xlfn.XLOOKUP(A456,[1]邦达数据库!$A:$A,[1]邦达数据库!$C:$C)</f>
        <v>#N/A</v>
      </c>
    </row>
    <row r="457" ht="30" customHeight="1" spans="1:6">
      <c r="A457" s="2" t="s">
        <v>1173</v>
      </c>
      <c r="B457" s="3" t="s">
        <v>1174</v>
      </c>
      <c r="C457" s="3" t="s">
        <v>1175</v>
      </c>
      <c r="D457" s="3" t="s">
        <v>117</v>
      </c>
      <c r="E457" s="3" t="s">
        <v>118</v>
      </c>
      <c r="F457" t="e">
        <f>_xlfn.XLOOKUP(A457,[1]邦达数据库!$A:$A,[1]邦达数据库!$C:$C)</f>
        <v>#N/A</v>
      </c>
    </row>
    <row r="458" ht="30" customHeight="1" spans="1:6">
      <c r="A458" s="4" t="s">
        <v>1176</v>
      </c>
      <c r="B458" s="5" t="s">
        <v>1177</v>
      </c>
      <c r="C458" s="5" t="s">
        <v>221</v>
      </c>
      <c r="D458" s="5" t="s">
        <v>1178</v>
      </c>
      <c r="E458" s="5" t="s">
        <v>1179</v>
      </c>
      <c r="F458" t="e">
        <f>_xlfn.XLOOKUP(A458,[1]邦达数据库!$A:$A,[1]邦达数据库!$C:$C)</f>
        <v>#N/A</v>
      </c>
    </row>
    <row r="459" ht="30" customHeight="1" spans="1:6">
      <c r="A459" s="2" t="s">
        <v>1180</v>
      </c>
      <c r="B459" s="3" t="s">
        <v>1177</v>
      </c>
      <c r="C459" s="3" t="s">
        <v>221</v>
      </c>
      <c r="D459" s="3" t="s">
        <v>357</v>
      </c>
      <c r="E459" s="3" t="s">
        <v>358</v>
      </c>
      <c r="F459" t="e">
        <f>_xlfn.XLOOKUP(A459,[1]邦达数据库!$A:$A,[1]邦达数据库!$C:$C)</f>
        <v>#N/A</v>
      </c>
    </row>
    <row r="460" ht="30" customHeight="1" spans="1:6">
      <c r="A460" s="4" t="s">
        <v>1181</v>
      </c>
      <c r="B460" s="5" t="s">
        <v>1182</v>
      </c>
      <c r="C460" s="5" t="s">
        <v>1183</v>
      </c>
      <c r="D460" s="5" t="s">
        <v>99</v>
      </c>
      <c r="E460" s="5" t="s">
        <v>100</v>
      </c>
      <c r="F460" t="e">
        <f>_xlfn.XLOOKUP(A460,[1]邦达数据库!$A:$A,[1]邦达数据库!$C:$C)</f>
        <v>#N/A</v>
      </c>
    </row>
    <row r="461" ht="30" customHeight="1" spans="1:6">
      <c r="A461" s="2" t="s">
        <v>1184</v>
      </c>
      <c r="B461" s="3" t="s">
        <v>1182</v>
      </c>
      <c r="C461" s="3" t="s">
        <v>1183</v>
      </c>
      <c r="D461" s="3" t="s">
        <v>417</v>
      </c>
      <c r="E461" s="3" t="s">
        <v>418</v>
      </c>
      <c r="F461" t="e">
        <f>_xlfn.XLOOKUP(A461,[1]邦达数据库!$A:$A,[1]邦达数据库!$C:$C)</f>
        <v>#N/A</v>
      </c>
    </row>
    <row r="462" ht="30" customHeight="1" spans="1:6">
      <c r="A462" s="4" t="s">
        <v>1185</v>
      </c>
      <c r="B462" s="5" t="s">
        <v>1182</v>
      </c>
      <c r="C462" s="5" t="s">
        <v>1183</v>
      </c>
      <c r="D462" s="5" t="s">
        <v>417</v>
      </c>
      <c r="E462" s="5" t="s">
        <v>418</v>
      </c>
      <c r="F462" t="e">
        <f>_xlfn.XLOOKUP(A462,[1]邦达数据库!$A:$A,[1]邦达数据库!$C:$C)</f>
        <v>#N/A</v>
      </c>
    </row>
    <row r="463" ht="30" customHeight="1" spans="1:6">
      <c r="A463" s="2" t="s">
        <v>1186</v>
      </c>
      <c r="B463" s="3" t="s">
        <v>1182</v>
      </c>
      <c r="C463" s="3" t="s">
        <v>1183</v>
      </c>
      <c r="D463" s="3" t="s">
        <v>1187</v>
      </c>
      <c r="E463" s="3" t="s">
        <v>1188</v>
      </c>
      <c r="F463" t="e">
        <f>_xlfn.XLOOKUP(A463,[1]邦达数据库!$A:$A,[1]邦达数据库!$C:$C)</f>
        <v>#N/A</v>
      </c>
    </row>
    <row r="464" ht="30" customHeight="1" spans="1:6">
      <c r="A464" s="4" t="s">
        <v>1189</v>
      </c>
      <c r="B464" s="5" t="s">
        <v>1182</v>
      </c>
      <c r="C464" s="5" t="s">
        <v>1183</v>
      </c>
      <c r="D464" s="5" t="s">
        <v>417</v>
      </c>
      <c r="E464" s="5" t="s">
        <v>418</v>
      </c>
      <c r="F464" t="e">
        <f>_xlfn.XLOOKUP(A464,[1]邦达数据库!$A:$A,[1]邦达数据库!$C:$C)</f>
        <v>#N/A</v>
      </c>
    </row>
    <row r="465" ht="30" customHeight="1" spans="1:6">
      <c r="A465" s="2" t="s">
        <v>1190</v>
      </c>
      <c r="B465" s="3" t="s">
        <v>1182</v>
      </c>
      <c r="C465" s="3" t="s">
        <v>1183</v>
      </c>
      <c r="D465" s="3" t="s">
        <v>99</v>
      </c>
      <c r="E465" s="3" t="s">
        <v>100</v>
      </c>
      <c r="F465" t="e">
        <f>_xlfn.XLOOKUP(A465,[1]邦达数据库!$A:$A,[1]邦达数据库!$C:$C)</f>
        <v>#N/A</v>
      </c>
    </row>
    <row r="466" ht="30" customHeight="1" spans="1:6">
      <c r="A466" s="4" t="s">
        <v>1191</v>
      </c>
      <c r="B466" s="5" t="s">
        <v>1182</v>
      </c>
      <c r="C466" s="5" t="s">
        <v>1183</v>
      </c>
      <c r="D466" s="5" t="s">
        <v>1192</v>
      </c>
      <c r="E466" s="5" t="s">
        <v>1193</v>
      </c>
      <c r="F466" t="e">
        <f>_xlfn.XLOOKUP(A466,[1]邦达数据库!$A:$A,[1]邦达数据库!$C:$C)</f>
        <v>#N/A</v>
      </c>
    </row>
    <row r="467" ht="30" customHeight="1" spans="1:6">
      <c r="A467" s="2" t="s">
        <v>1194</v>
      </c>
      <c r="B467" s="3" t="s">
        <v>1182</v>
      </c>
      <c r="C467" s="3" t="s">
        <v>1183</v>
      </c>
      <c r="D467" s="3" t="s">
        <v>1195</v>
      </c>
      <c r="E467" s="3" t="s">
        <v>1196</v>
      </c>
      <c r="F467" t="e">
        <f>_xlfn.XLOOKUP(A467,[1]邦达数据库!$A:$A,[1]邦达数据库!$C:$C)</f>
        <v>#N/A</v>
      </c>
    </row>
    <row r="468" ht="30" customHeight="1" spans="1:6">
      <c r="A468" s="4" t="s">
        <v>1197</v>
      </c>
      <c r="B468" s="5" t="s">
        <v>1182</v>
      </c>
      <c r="C468" s="5" t="s">
        <v>1183</v>
      </c>
      <c r="D468" s="5" t="s">
        <v>1198</v>
      </c>
      <c r="E468" s="5" t="s">
        <v>1199</v>
      </c>
      <c r="F468" t="e">
        <f>_xlfn.XLOOKUP(A468,[1]邦达数据库!$A:$A,[1]邦达数据库!$C:$C)</f>
        <v>#N/A</v>
      </c>
    </row>
    <row r="469" ht="30" customHeight="1" spans="1:6">
      <c r="A469" s="2" t="s">
        <v>1200</v>
      </c>
      <c r="B469" s="3" t="s">
        <v>1182</v>
      </c>
      <c r="C469" s="3" t="s">
        <v>1183</v>
      </c>
      <c r="D469" s="3" t="s">
        <v>1201</v>
      </c>
      <c r="E469" s="3" t="s">
        <v>1202</v>
      </c>
      <c r="F469" t="e">
        <f>_xlfn.XLOOKUP(A469,[1]邦达数据库!$A:$A,[1]邦达数据库!$C:$C)</f>
        <v>#N/A</v>
      </c>
    </row>
    <row r="470" ht="30" customHeight="1" spans="1:6">
      <c r="A470" s="4" t="s">
        <v>1203</v>
      </c>
      <c r="B470" s="5" t="s">
        <v>1182</v>
      </c>
      <c r="C470" s="5" t="s">
        <v>1183</v>
      </c>
      <c r="D470" s="5" t="s">
        <v>417</v>
      </c>
      <c r="E470" s="5" t="s">
        <v>418</v>
      </c>
      <c r="F470" t="e">
        <f>_xlfn.XLOOKUP(A470,[1]邦达数据库!$A:$A,[1]邦达数据库!$C:$C)</f>
        <v>#N/A</v>
      </c>
    </row>
    <row r="471" ht="30" customHeight="1" spans="1:6">
      <c r="A471" s="2" t="s">
        <v>1204</v>
      </c>
      <c r="B471" s="3" t="s">
        <v>1205</v>
      </c>
      <c r="C471" s="3" t="s">
        <v>1183</v>
      </c>
      <c r="D471" s="3" t="s">
        <v>1206</v>
      </c>
      <c r="E471" s="3" t="s">
        <v>1207</v>
      </c>
      <c r="F471" t="e">
        <f>_xlfn.XLOOKUP(A471,[1]邦达数据库!$A:$A,[1]邦达数据库!$C:$C)</f>
        <v>#N/A</v>
      </c>
    </row>
    <row r="472" ht="30" customHeight="1" spans="1:6">
      <c r="A472" s="4" t="s">
        <v>1208</v>
      </c>
      <c r="B472" s="5" t="s">
        <v>1205</v>
      </c>
      <c r="C472" s="5" t="s">
        <v>1183</v>
      </c>
      <c r="D472" s="5" t="s">
        <v>1206</v>
      </c>
      <c r="E472" s="5" t="s">
        <v>1207</v>
      </c>
      <c r="F472" t="e">
        <f>_xlfn.XLOOKUP(A472,[1]邦达数据库!$A:$A,[1]邦达数据库!$C:$C)</f>
        <v>#N/A</v>
      </c>
    </row>
    <row r="473" ht="30" customHeight="1" spans="1:6">
      <c r="A473" s="2" t="s">
        <v>1209</v>
      </c>
      <c r="B473" s="3" t="s">
        <v>1205</v>
      </c>
      <c r="C473" s="3" t="s">
        <v>1210</v>
      </c>
      <c r="D473" s="3" t="s">
        <v>1211</v>
      </c>
      <c r="E473" s="3" t="s">
        <v>1212</v>
      </c>
      <c r="F473" t="e">
        <f>_xlfn.XLOOKUP(A473,[1]邦达数据库!$A:$A,[1]邦达数据库!$C:$C)</f>
        <v>#N/A</v>
      </c>
    </row>
    <row r="474" ht="30" customHeight="1" spans="1:6">
      <c r="A474" s="4" t="s">
        <v>1213</v>
      </c>
      <c r="B474" s="5" t="s">
        <v>1205</v>
      </c>
      <c r="C474" s="5" t="s">
        <v>1183</v>
      </c>
      <c r="D474" s="5" t="s">
        <v>1206</v>
      </c>
      <c r="E474" s="5" t="s">
        <v>1207</v>
      </c>
      <c r="F474" t="e">
        <f>_xlfn.XLOOKUP(A474,[1]邦达数据库!$A:$A,[1]邦达数据库!$C:$C)</f>
        <v>#N/A</v>
      </c>
    </row>
    <row r="475" ht="30" customHeight="1" spans="1:6">
      <c r="A475" s="2" t="s">
        <v>1214</v>
      </c>
      <c r="B475" s="3" t="s">
        <v>1205</v>
      </c>
      <c r="C475" s="3" t="s">
        <v>1183</v>
      </c>
      <c r="D475" s="3" t="s">
        <v>1206</v>
      </c>
      <c r="E475" s="3" t="s">
        <v>1207</v>
      </c>
      <c r="F475" t="e">
        <f>_xlfn.XLOOKUP(A475,[1]邦达数据库!$A:$A,[1]邦达数据库!$C:$C)</f>
        <v>#N/A</v>
      </c>
    </row>
    <row r="476" ht="30" customHeight="1" spans="1:6">
      <c r="A476" s="4" t="s">
        <v>1215</v>
      </c>
      <c r="B476" s="5" t="s">
        <v>1205</v>
      </c>
      <c r="C476" s="5" t="s">
        <v>1183</v>
      </c>
      <c r="D476" s="5" t="s">
        <v>1206</v>
      </c>
      <c r="E476" s="5" t="s">
        <v>1207</v>
      </c>
      <c r="F476" t="e">
        <f>_xlfn.XLOOKUP(A476,[1]邦达数据库!$A:$A,[1]邦达数据库!$C:$C)</f>
        <v>#N/A</v>
      </c>
    </row>
    <row r="477" ht="30" customHeight="1" spans="1:6">
      <c r="A477" s="2" t="s">
        <v>1216</v>
      </c>
      <c r="B477" s="3" t="s">
        <v>1217</v>
      </c>
      <c r="C477" s="3" t="s">
        <v>221</v>
      </c>
      <c r="D477" s="3" t="s">
        <v>149</v>
      </c>
      <c r="E477" s="3" t="s">
        <v>150</v>
      </c>
      <c r="F477" t="e">
        <f>_xlfn.XLOOKUP(A477,[1]邦达数据库!$A:$A,[1]邦达数据库!$C:$C)</f>
        <v>#N/A</v>
      </c>
    </row>
    <row r="478" ht="30" customHeight="1" spans="1:6">
      <c r="A478" s="4" t="s">
        <v>1218</v>
      </c>
      <c r="B478" s="5" t="s">
        <v>1217</v>
      </c>
      <c r="C478" s="5" t="s">
        <v>221</v>
      </c>
      <c r="D478" s="5" t="s">
        <v>1219</v>
      </c>
      <c r="E478" s="5" t="s">
        <v>1220</v>
      </c>
      <c r="F478" t="e">
        <f>_xlfn.XLOOKUP(A478,[1]邦达数据库!$A:$A,[1]邦达数据库!$C:$C)</f>
        <v>#N/A</v>
      </c>
    </row>
    <row r="479" ht="30" customHeight="1" spans="1:6">
      <c r="A479" s="2" t="s">
        <v>1221</v>
      </c>
      <c r="B479" s="3" t="s">
        <v>802</v>
      </c>
      <c r="C479" s="3" t="s">
        <v>716</v>
      </c>
      <c r="D479" s="3" t="s">
        <v>1222</v>
      </c>
      <c r="E479" s="3" t="s">
        <v>1223</v>
      </c>
      <c r="F479" t="e">
        <f>_xlfn.XLOOKUP(A479,[1]邦达数据库!$A:$A,[1]邦达数据库!$C:$C)</f>
        <v>#N/A</v>
      </c>
    </row>
    <row r="480" ht="30" customHeight="1" spans="1:6">
      <c r="A480" s="4" t="s">
        <v>1224</v>
      </c>
      <c r="B480" s="5" t="s">
        <v>802</v>
      </c>
      <c r="C480" s="5" t="s">
        <v>1225</v>
      </c>
      <c r="D480" s="5" t="s">
        <v>223</v>
      </c>
      <c r="E480" s="5" t="s">
        <v>224</v>
      </c>
      <c r="F480" t="e">
        <f>_xlfn.XLOOKUP(A480,[1]邦达数据库!$A:$A,[1]邦达数据库!$C:$C)</f>
        <v>#N/A</v>
      </c>
    </row>
    <row r="481" ht="30" customHeight="1" spans="1:6">
      <c r="A481" s="2" t="s">
        <v>1226</v>
      </c>
      <c r="B481" s="3" t="s">
        <v>802</v>
      </c>
      <c r="C481" s="3" t="s">
        <v>1225</v>
      </c>
      <c r="D481" s="3" t="s">
        <v>1227</v>
      </c>
      <c r="E481" s="3" t="s">
        <v>1228</v>
      </c>
      <c r="F481" t="e">
        <f>_xlfn.XLOOKUP(A481,[1]邦达数据库!$A:$A,[1]邦达数据库!$C:$C)</f>
        <v>#N/A</v>
      </c>
    </row>
    <row r="482" ht="30" customHeight="1" spans="1:6">
      <c r="A482" s="4" t="s">
        <v>1229</v>
      </c>
      <c r="B482" s="5" t="s">
        <v>802</v>
      </c>
      <c r="C482" s="5" t="s">
        <v>803</v>
      </c>
      <c r="D482" s="5" t="s">
        <v>804</v>
      </c>
      <c r="E482" s="5" t="s">
        <v>805</v>
      </c>
      <c r="F482" t="e">
        <f>_xlfn.XLOOKUP(A482,[1]邦达数据库!$A:$A,[1]邦达数据库!$C:$C)</f>
        <v>#N/A</v>
      </c>
    </row>
    <row r="483" ht="30" customHeight="1" spans="1:6">
      <c r="A483" s="2" t="s">
        <v>1230</v>
      </c>
      <c r="B483" s="3" t="s">
        <v>1231</v>
      </c>
      <c r="C483" s="3" t="s">
        <v>1232</v>
      </c>
      <c r="D483" s="3" t="s">
        <v>1233</v>
      </c>
      <c r="E483" s="3" t="s">
        <v>1234</v>
      </c>
      <c r="F483" t="e">
        <f>_xlfn.XLOOKUP(A483,[1]邦达数据库!$A:$A,[1]邦达数据库!$C:$C)</f>
        <v>#N/A</v>
      </c>
    </row>
    <row r="484" ht="30" customHeight="1" spans="1:6">
      <c r="A484" s="4" t="s">
        <v>1235</v>
      </c>
      <c r="B484" s="5" t="s">
        <v>1231</v>
      </c>
      <c r="C484" s="5" t="s">
        <v>1232</v>
      </c>
      <c r="D484" s="5" t="s">
        <v>1233</v>
      </c>
      <c r="E484" s="5" t="s">
        <v>1234</v>
      </c>
      <c r="F484" t="e">
        <f>_xlfn.XLOOKUP(A484,[1]邦达数据库!$A:$A,[1]邦达数据库!$C:$C)</f>
        <v>#N/A</v>
      </c>
    </row>
    <row r="485" ht="30" customHeight="1" spans="1:6">
      <c r="A485" s="2" t="s">
        <v>1236</v>
      </c>
      <c r="B485" s="3" t="s">
        <v>1231</v>
      </c>
      <c r="C485" s="3" t="s">
        <v>1232</v>
      </c>
      <c r="D485" s="3" t="s">
        <v>1233</v>
      </c>
      <c r="E485" s="3" t="s">
        <v>1234</v>
      </c>
      <c r="F485" t="e">
        <f>_xlfn.XLOOKUP(A485,[1]邦达数据库!$A:$A,[1]邦达数据库!$C:$C)</f>
        <v>#N/A</v>
      </c>
    </row>
    <row r="486" ht="30" customHeight="1" spans="1:6">
      <c r="A486" s="4" t="s">
        <v>1237</v>
      </c>
      <c r="B486" s="5" t="s">
        <v>1231</v>
      </c>
      <c r="C486" s="5" t="s">
        <v>716</v>
      </c>
      <c r="D486" s="5" t="s">
        <v>1097</v>
      </c>
      <c r="E486" s="5" t="s">
        <v>1098</v>
      </c>
      <c r="F486" t="e">
        <f>_xlfn.XLOOKUP(A486,[1]邦达数据库!$A:$A,[1]邦达数据库!$C:$C)</f>
        <v>#N/A</v>
      </c>
    </row>
    <row r="487" ht="30" customHeight="1" spans="1:6">
      <c r="A487" s="2" t="s">
        <v>1238</v>
      </c>
      <c r="B487" s="3" t="s">
        <v>1231</v>
      </c>
      <c r="C487" s="3" t="s">
        <v>123</v>
      </c>
      <c r="D487" s="3" t="s">
        <v>1239</v>
      </c>
      <c r="E487" s="3" t="s">
        <v>1240</v>
      </c>
      <c r="F487" t="e">
        <f>_xlfn.XLOOKUP(A487,[1]邦达数据库!$A:$A,[1]邦达数据库!$C:$C)</f>
        <v>#N/A</v>
      </c>
    </row>
    <row r="488" ht="30" customHeight="1" spans="1:6">
      <c r="A488" s="4" t="s">
        <v>1241</v>
      </c>
      <c r="B488" s="5" t="s">
        <v>1242</v>
      </c>
      <c r="C488" s="5" t="s">
        <v>1243</v>
      </c>
      <c r="D488" s="5" t="s">
        <v>1244</v>
      </c>
      <c r="E488" s="5" t="s">
        <v>1245</v>
      </c>
      <c r="F488" t="e">
        <f>_xlfn.XLOOKUP(A488,[1]邦达数据库!$A:$A,[1]邦达数据库!$C:$C)</f>
        <v>#N/A</v>
      </c>
    </row>
    <row r="489" ht="30" customHeight="1" spans="1:6">
      <c r="A489" s="2" t="s">
        <v>1246</v>
      </c>
      <c r="B489" s="3" t="s">
        <v>1242</v>
      </c>
      <c r="C489" s="3" t="s">
        <v>1243</v>
      </c>
      <c r="D489" s="3" t="s">
        <v>1081</v>
      </c>
      <c r="E489" s="3" t="s">
        <v>1082</v>
      </c>
      <c r="F489" t="e">
        <f>_xlfn.XLOOKUP(A489,[1]邦达数据库!$A:$A,[1]邦达数据库!$C:$C)</f>
        <v>#N/A</v>
      </c>
    </row>
    <row r="490" ht="30" customHeight="1" spans="1:6">
      <c r="A490" s="4" t="s">
        <v>1247</v>
      </c>
      <c r="B490" s="5" t="s">
        <v>1242</v>
      </c>
      <c r="C490" s="5" t="s">
        <v>1243</v>
      </c>
      <c r="D490" s="5" t="s">
        <v>1081</v>
      </c>
      <c r="E490" s="5" t="s">
        <v>1082</v>
      </c>
      <c r="F490" t="e">
        <f>_xlfn.XLOOKUP(A490,[1]邦达数据库!$A:$A,[1]邦达数据库!$C:$C)</f>
        <v>#N/A</v>
      </c>
    </row>
    <row r="491" ht="30" customHeight="1" spans="1:6">
      <c r="A491" s="2" t="s">
        <v>1248</v>
      </c>
      <c r="B491" s="3" t="s">
        <v>1249</v>
      </c>
      <c r="C491" s="3" t="s">
        <v>842</v>
      </c>
      <c r="D491" s="3" t="s">
        <v>1250</v>
      </c>
      <c r="E491" s="3" t="s">
        <v>1251</v>
      </c>
      <c r="F491" t="s">
        <v>1252</v>
      </c>
    </row>
    <row r="492" ht="30" customHeight="1" spans="1:6">
      <c r="A492" s="4" t="s">
        <v>1253</v>
      </c>
      <c r="B492" s="5" t="s">
        <v>1254</v>
      </c>
      <c r="C492" s="5" t="s">
        <v>318</v>
      </c>
      <c r="D492" s="5" t="s">
        <v>271</v>
      </c>
      <c r="E492" s="5" t="s">
        <v>272</v>
      </c>
      <c r="F492" t="e">
        <f>_xlfn.XLOOKUP(A492,[1]邦达数据库!$A:$A,[1]邦达数据库!$C:$C)</f>
        <v>#N/A</v>
      </c>
    </row>
    <row r="493" ht="30" customHeight="1" spans="1:6">
      <c r="A493" s="2" t="s">
        <v>1255</v>
      </c>
      <c r="B493" s="3" t="s">
        <v>1254</v>
      </c>
      <c r="C493" s="3" t="s">
        <v>318</v>
      </c>
      <c r="D493" s="3" t="s">
        <v>271</v>
      </c>
      <c r="E493" s="3" t="s">
        <v>272</v>
      </c>
      <c r="F493" t="e">
        <f>_xlfn.XLOOKUP(A493,[1]邦达数据库!$A:$A,[1]邦达数据库!$C:$C)</f>
        <v>#N/A</v>
      </c>
    </row>
    <row r="494" ht="30" customHeight="1" spans="1:6">
      <c r="A494" s="4" t="s">
        <v>1256</v>
      </c>
      <c r="B494" s="5" t="s">
        <v>62</v>
      </c>
      <c r="C494" s="5" t="s">
        <v>1257</v>
      </c>
      <c r="D494" s="5" t="s">
        <v>558</v>
      </c>
      <c r="E494" s="5" t="s">
        <v>559</v>
      </c>
      <c r="F494" t="e">
        <f>_xlfn.XLOOKUP(A494,[1]邦达数据库!$A:$A,[1]邦达数据库!$C:$C)</f>
        <v>#N/A</v>
      </c>
    </row>
    <row r="495" ht="30" customHeight="1" spans="1:6">
      <c r="A495" s="2" t="s">
        <v>1258</v>
      </c>
      <c r="B495" s="3" t="s">
        <v>62</v>
      </c>
      <c r="C495" s="3" t="s">
        <v>1257</v>
      </c>
      <c r="D495" s="3" t="s">
        <v>558</v>
      </c>
      <c r="E495" s="3" t="s">
        <v>559</v>
      </c>
      <c r="F495" t="e">
        <f>_xlfn.XLOOKUP(A495,[1]邦达数据库!$A:$A,[1]邦达数据库!$C:$C)</f>
        <v>#N/A</v>
      </c>
    </row>
    <row r="496" ht="30" customHeight="1" spans="1:6">
      <c r="A496" s="4" t="s">
        <v>1259</v>
      </c>
      <c r="B496" s="5" t="s">
        <v>62</v>
      </c>
      <c r="C496" s="5" t="s">
        <v>63</v>
      </c>
      <c r="D496" s="5" t="s">
        <v>1260</v>
      </c>
      <c r="E496" s="5" t="s">
        <v>1261</v>
      </c>
      <c r="F496" t="e">
        <f>_xlfn.XLOOKUP(A496,[1]邦达数据库!$A:$A,[1]邦达数据库!$C:$C)</f>
        <v>#N/A</v>
      </c>
    </row>
    <row r="497" ht="30" customHeight="1" spans="1:6">
      <c r="A497" s="2" t="s">
        <v>1262</v>
      </c>
      <c r="B497" s="3" t="s">
        <v>1263</v>
      </c>
      <c r="C497" s="3" t="s">
        <v>865</v>
      </c>
      <c r="D497" s="3" t="s">
        <v>112</v>
      </c>
      <c r="E497" s="3" t="s">
        <v>113</v>
      </c>
      <c r="F497" t="str">
        <f>_xlfn.XLOOKUP(A497,[1]邦达数据库!$A:$A,[1]邦达数据库!$C:$C)</f>
        <v>7326.90.9890</v>
      </c>
    </row>
    <row r="498" ht="30" customHeight="1" spans="1:6">
      <c r="A498" s="4" t="s">
        <v>1264</v>
      </c>
      <c r="B498" s="5" t="s">
        <v>1265</v>
      </c>
      <c r="C498" s="5" t="s">
        <v>412</v>
      </c>
      <c r="D498" s="5" t="s">
        <v>621</v>
      </c>
      <c r="E498" s="5" t="s">
        <v>622</v>
      </c>
      <c r="F498" t="str">
        <f>_xlfn.XLOOKUP(A498,[1]邦达数据库!$A:$A,[1]邦达数据库!$C:$C)</f>
        <v>9403.70.0000</v>
      </c>
    </row>
    <row r="499" ht="30" customHeight="1" spans="1:6">
      <c r="A499" s="2" t="s">
        <v>1266</v>
      </c>
      <c r="B499" s="3" t="s">
        <v>1267</v>
      </c>
      <c r="C499" s="3" t="s">
        <v>265</v>
      </c>
      <c r="D499" s="3" t="s">
        <v>1268</v>
      </c>
      <c r="E499" s="3" t="s">
        <v>1269</v>
      </c>
      <c r="F499" t="e">
        <f>_xlfn.XLOOKUP(A499,[1]邦达数据库!$A:$A,[1]邦达数据库!$C:$C)</f>
        <v>#N/A</v>
      </c>
    </row>
    <row r="500" ht="30" customHeight="1" spans="1:6">
      <c r="A500" s="4" t="s">
        <v>1270</v>
      </c>
      <c r="B500" s="5" t="s">
        <v>1271</v>
      </c>
      <c r="C500" s="5" t="s">
        <v>1272</v>
      </c>
      <c r="D500" s="5" t="s">
        <v>1273</v>
      </c>
      <c r="E500" s="5" t="s">
        <v>1274</v>
      </c>
      <c r="F500" t="e">
        <f>_xlfn.XLOOKUP(A500,[1]邦达数据库!$A:$A,[1]邦达数据库!$C:$C)</f>
        <v>#N/A</v>
      </c>
    </row>
    <row r="501" ht="30" customHeight="1" spans="1:6">
      <c r="A501" s="4" t="s">
        <v>1275</v>
      </c>
      <c r="B501" s="5" t="s">
        <v>1276</v>
      </c>
      <c r="C501" s="5" t="s">
        <v>1277</v>
      </c>
      <c r="D501" s="5" t="s">
        <v>1278</v>
      </c>
      <c r="E501" s="5" t="s">
        <v>1279</v>
      </c>
      <c r="F501" t="e">
        <f>_xlfn.XLOOKUP(A501,[1]邦达数据库!$A:$A,[1]邦达数据库!$C:$C)</f>
        <v>#N/A</v>
      </c>
    </row>
    <row r="502" ht="30" customHeight="1" spans="1:6">
      <c r="A502" s="2" t="s">
        <v>1280</v>
      </c>
      <c r="B502" s="3" t="s">
        <v>1281</v>
      </c>
      <c r="C502" s="3" t="s">
        <v>443</v>
      </c>
      <c r="D502" s="3" t="s">
        <v>568</v>
      </c>
      <c r="E502" s="3" t="s">
        <v>569</v>
      </c>
      <c r="F502" t="e">
        <f>_xlfn.XLOOKUP(A502,[1]邦达数据库!$A:$A,[1]邦达数据库!$C:$C)</f>
        <v>#N/A</v>
      </c>
    </row>
    <row r="503" ht="30" customHeight="1" spans="1:6">
      <c r="A503" s="4" t="s">
        <v>1282</v>
      </c>
      <c r="B503" s="5" t="s">
        <v>1283</v>
      </c>
      <c r="C503" s="5" t="s">
        <v>1284</v>
      </c>
      <c r="D503" s="5" t="s">
        <v>1285</v>
      </c>
      <c r="E503" s="5" t="s">
        <v>1286</v>
      </c>
      <c r="F503" t="e">
        <f>_xlfn.XLOOKUP(A503,[1]邦达数据库!$A:$A,[1]邦达数据库!$C:$C)</f>
        <v>#N/A</v>
      </c>
    </row>
    <row r="504" ht="30" customHeight="1" spans="1:6">
      <c r="A504" s="2" t="s">
        <v>1287</v>
      </c>
      <c r="B504" s="3" t="s">
        <v>1288</v>
      </c>
      <c r="C504" s="3" t="s">
        <v>1289</v>
      </c>
      <c r="D504" s="3" t="s">
        <v>276</v>
      </c>
      <c r="E504" s="3" t="s">
        <v>277</v>
      </c>
      <c r="F504" t="e">
        <f>_xlfn.XLOOKUP(A504,[1]邦达数据库!$A:$A,[1]邦达数据库!$C:$C)</f>
        <v>#N/A</v>
      </c>
    </row>
    <row r="505" ht="30" customHeight="1" spans="1:6">
      <c r="A505" s="4" t="s">
        <v>1290</v>
      </c>
      <c r="B505" s="5" t="s">
        <v>1288</v>
      </c>
      <c r="C505" s="5" t="s">
        <v>1289</v>
      </c>
      <c r="D505" s="5" t="s">
        <v>618</v>
      </c>
      <c r="E505" s="5" t="s">
        <v>619</v>
      </c>
      <c r="F505" t="e">
        <f>_xlfn.XLOOKUP(A505,[1]邦达数据库!$A:$A,[1]邦达数据库!$C:$C)</f>
        <v>#N/A</v>
      </c>
    </row>
    <row r="506" ht="30" customHeight="1" spans="1:6">
      <c r="A506" s="2" t="s">
        <v>1291</v>
      </c>
      <c r="B506" s="3" t="s">
        <v>1292</v>
      </c>
      <c r="C506" s="3" t="s">
        <v>1293</v>
      </c>
      <c r="D506" s="3" t="s">
        <v>1294</v>
      </c>
      <c r="E506" s="3" t="s">
        <v>1295</v>
      </c>
      <c r="F506" t="e">
        <f>_xlfn.XLOOKUP(A506,[1]邦达数据库!$A:$A,[1]邦达数据库!$C:$C)</f>
        <v>#N/A</v>
      </c>
    </row>
    <row r="507" ht="30" customHeight="1" spans="1:6">
      <c r="A507" s="4" t="s">
        <v>1296</v>
      </c>
      <c r="B507" s="5" t="s">
        <v>1292</v>
      </c>
      <c r="C507" s="5" t="s">
        <v>1293</v>
      </c>
      <c r="D507" s="5" t="s">
        <v>1297</v>
      </c>
      <c r="E507" s="5" t="s">
        <v>1298</v>
      </c>
      <c r="F507" t="e">
        <f>_xlfn.XLOOKUP(A507,[1]邦达数据库!$A:$A,[1]邦达数据库!$C:$C)</f>
        <v>#N/A</v>
      </c>
    </row>
    <row r="508" ht="30" customHeight="1" spans="1:6">
      <c r="A508" s="2" t="s">
        <v>1299</v>
      </c>
      <c r="B508" s="3" t="s">
        <v>1292</v>
      </c>
      <c r="C508" s="3" t="s">
        <v>1293</v>
      </c>
      <c r="D508" s="3" t="s">
        <v>1300</v>
      </c>
      <c r="E508" s="3" t="s">
        <v>1301</v>
      </c>
      <c r="F508" t="e">
        <f>_xlfn.XLOOKUP(A508,[1]邦达数据库!$A:$A,[1]邦达数据库!$C:$C)</f>
        <v>#N/A</v>
      </c>
    </row>
    <row r="509" ht="30" customHeight="1" spans="1:6">
      <c r="A509" s="2" t="s">
        <v>1302</v>
      </c>
      <c r="B509" s="3" t="s">
        <v>1292</v>
      </c>
      <c r="C509" s="3" t="s">
        <v>1303</v>
      </c>
      <c r="D509" s="3" t="s">
        <v>1304</v>
      </c>
      <c r="E509" s="3" t="s">
        <v>1305</v>
      </c>
      <c r="F509" t="e">
        <f>_xlfn.XLOOKUP(A509,[1]邦达数据库!$A:$A,[1]邦达数据库!$C:$C)</f>
        <v>#N/A</v>
      </c>
    </row>
    <row r="510" ht="30" customHeight="1" spans="1:6">
      <c r="A510" s="4" t="s">
        <v>1306</v>
      </c>
      <c r="B510" s="5" t="s">
        <v>1307</v>
      </c>
      <c r="C510" s="5" t="s">
        <v>1308</v>
      </c>
      <c r="D510" s="5" t="s">
        <v>1309</v>
      </c>
      <c r="E510" s="5" t="s">
        <v>1310</v>
      </c>
      <c r="F510" t="e">
        <f>_xlfn.XLOOKUP(A510,[1]邦达数据库!$A:$A,[1]邦达数据库!$C:$C)</f>
        <v>#N/A</v>
      </c>
    </row>
    <row r="511" ht="30" customHeight="1" spans="1:6">
      <c r="A511" s="2" t="s">
        <v>1311</v>
      </c>
      <c r="B511" s="3" t="s">
        <v>1307</v>
      </c>
      <c r="C511" s="3" t="s">
        <v>672</v>
      </c>
      <c r="D511" s="3" t="s">
        <v>1312</v>
      </c>
      <c r="E511" s="3" t="s">
        <v>1313</v>
      </c>
      <c r="F511" t="e">
        <f>_xlfn.XLOOKUP(A511,[1]邦达数据库!$A:$A,[1]邦达数据库!$C:$C)</f>
        <v>#N/A</v>
      </c>
    </row>
    <row r="512" ht="30" customHeight="1" spans="1:6">
      <c r="A512" s="4" t="s">
        <v>1314</v>
      </c>
      <c r="B512" s="5" t="s">
        <v>1307</v>
      </c>
      <c r="C512" s="5" t="s">
        <v>672</v>
      </c>
      <c r="D512" s="5" t="s">
        <v>1315</v>
      </c>
      <c r="E512" s="5" t="s">
        <v>1316</v>
      </c>
      <c r="F512" t="e">
        <f>_xlfn.XLOOKUP(A512,[1]邦达数据库!$A:$A,[1]邦达数据库!$C:$C)</f>
        <v>#N/A</v>
      </c>
    </row>
    <row r="513" ht="30" customHeight="1" spans="1:6">
      <c r="A513" s="2" t="s">
        <v>1317</v>
      </c>
      <c r="B513" s="3" t="s">
        <v>1318</v>
      </c>
      <c r="C513" s="3" t="s">
        <v>1027</v>
      </c>
      <c r="D513" s="3" t="s">
        <v>1319</v>
      </c>
      <c r="E513" s="3" t="s">
        <v>1320</v>
      </c>
      <c r="F513" t="e">
        <f>_xlfn.XLOOKUP(A513,[1]邦达数据库!$A:$A,[1]邦达数据库!$C:$C)</f>
        <v>#N/A</v>
      </c>
    </row>
    <row r="514" ht="30" customHeight="1" spans="1:6">
      <c r="A514" s="4" t="s">
        <v>1321</v>
      </c>
      <c r="B514" s="5" t="s">
        <v>1318</v>
      </c>
      <c r="C514" s="5" t="s">
        <v>1027</v>
      </c>
      <c r="D514" s="5" t="s">
        <v>280</v>
      </c>
      <c r="E514" s="5" t="s">
        <v>281</v>
      </c>
      <c r="F514" t="str">
        <f>_xlfn.XLOOKUP(A514,[1]邦达数据库!$A:$A,[1]邦达数据库!$C:$C)</f>
        <v>8505.90.9090</v>
      </c>
    </row>
    <row r="515" ht="30" customHeight="1" spans="1:6">
      <c r="A515" s="2" t="s">
        <v>1322</v>
      </c>
      <c r="B515" s="3" t="s">
        <v>1323</v>
      </c>
      <c r="C515" s="3" t="s">
        <v>157</v>
      </c>
      <c r="D515" s="3" t="s">
        <v>524</v>
      </c>
      <c r="E515" s="3" t="s">
        <v>525</v>
      </c>
      <c r="F515" t="e">
        <f>_xlfn.XLOOKUP(A515,[1]邦达数据库!$A:$A,[1]邦达数据库!$C:$C)</f>
        <v>#N/A</v>
      </c>
    </row>
    <row r="516" ht="30" customHeight="1" spans="1:6">
      <c r="A516" s="4" t="s">
        <v>1324</v>
      </c>
      <c r="B516" s="5" t="s">
        <v>1323</v>
      </c>
      <c r="C516" s="5" t="s">
        <v>157</v>
      </c>
      <c r="D516" s="5" t="s">
        <v>524</v>
      </c>
      <c r="E516" s="5" t="s">
        <v>525</v>
      </c>
      <c r="F516" t="e">
        <f>_xlfn.XLOOKUP(A516,[1]邦达数据库!$A:$A,[1]邦达数据库!$C:$C)</f>
        <v>#N/A</v>
      </c>
    </row>
    <row r="517" ht="30" customHeight="1" spans="1:6">
      <c r="A517" s="2" t="s">
        <v>1325</v>
      </c>
      <c r="B517" s="3" t="s">
        <v>1326</v>
      </c>
      <c r="C517" s="3" t="s">
        <v>1327</v>
      </c>
      <c r="D517" s="3" t="s">
        <v>719</v>
      </c>
      <c r="E517" s="3" t="s">
        <v>720</v>
      </c>
      <c r="F517" t="e">
        <f>_xlfn.XLOOKUP(A517,[1]邦达数据库!$A:$A,[1]邦达数据库!$C:$C)</f>
        <v>#N/A</v>
      </c>
    </row>
    <row r="518" ht="30" customHeight="1" spans="1:6">
      <c r="A518" s="4" t="s">
        <v>1328</v>
      </c>
      <c r="B518" s="5" t="s">
        <v>1329</v>
      </c>
      <c r="C518" s="5" t="s">
        <v>1330</v>
      </c>
      <c r="D518" s="5" t="s">
        <v>33</v>
      </c>
      <c r="E518" s="5" t="s">
        <v>34</v>
      </c>
      <c r="F518" t="e">
        <f>_xlfn.XLOOKUP(A518,[1]邦达数据库!$A:$A,[1]邦达数据库!$C:$C)</f>
        <v>#N/A</v>
      </c>
    </row>
    <row r="519" ht="30" customHeight="1" spans="1:6">
      <c r="A519" s="2" t="s">
        <v>1331</v>
      </c>
      <c r="B519" s="3" t="s">
        <v>1332</v>
      </c>
      <c r="C519" s="3" t="s">
        <v>1333</v>
      </c>
      <c r="D519" s="3" t="s">
        <v>271</v>
      </c>
      <c r="E519" s="3" t="s">
        <v>272</v>
      </c>
      <c r="F519" t="e">
        <f>_xlfn.XLOOKUP(A519,[1]邦达数据库!$A:$A,[1]邦达数据库!$C:$C)</f>
        <v>#N/A</v>
      </c>
    </row>
    <row r="520" ht="30" customHeight="1" spans="1:6">
      <c r="A520" s="2" t="s">
        <v>1334</v>
      </c>
      <c r="B520" s="3" t="s">
        <v>1335</v>
      </c>
      <c r="C520" s="3" t="s">
        <v>325</v>
      </c>
      <c r="D520" s="3" t="s">
        <v>217</v>
      </c>
      <c r="E520" s="3" t="s">
        <v>218</v>
      </c>
      <c r="F520" t="e">
        <f>_xlfn.XLOOKUP(A520,[1]邦达数据库!$A:$A,[1]邦达数据库!$C:$C)</f>
        <v>#N/A</v>
      </c>
    </row>
    <row r="521" ht="30" customHeight="1" spans="1:6">
      <c r="A521" s="4" t="s">
        <v>1336</v>
      </c>
      <c r="B521" s="5" t="s">
        <v>1337</v>
      </c>
      <c r="C521" s="5" t="s">
        <v>325</v>
      </c>
      <c r="D521" s="5" t="s">
        <v>1338</v>
      </c>
      <c r="E521" s="5" t="s">
        <v>1339</v>
      </c>
      <c r="F521" t="e">
        <f>_xlfn.XLOOKUP(A521,[1]邦达数据库!$A:$A,[1]邦达数据库!$C:$C)</f>
        <v>#N/A</v>
      </c>
    </row>
    <row r="522" ht="30" customHeight="1" spans="1:6">
      <c r="A522" s="2" t="s">
        <v>1340</v>
      </c>
      <c r="B522" s="3" t="s">
        <v>1335</v>
      </c>
      <c r="C522" s="3" t="s">
        <v>325</v>
      </c>
      <c r="D522" s="3" t="s">
        <v>1341</v>
      </c>
      <c r="E522" s="3" t="s">
        <v>1342</v>
      </c>
      <c r="F522" t="e">
        <f>_xlfn.XLOOKUP(A522,[1]邦达数据库!$A:$A,[1]邦达数据库!$C:$C)</f>
        <v>#N/A</v>
      </c>
    </row>
    <row r="523" ht="30" customHeight="1" spans="1:6">
      <c r="A523" s="4" t="s">
        <v>1343</v>
      </c>
      <c r="B523" s="5" t="s">
        <v>1344</v>
      </c>
      <c r="C523" s="5" t="s">
        <v>72</v>
      </c>
      <c r="D523" s="5" t="s">
        <v>79</v>
      </c>
      <c r="E523" s="5" t="s">
        <v>80</v>
      </c>
      <c r="F523" t="e">
        <f>_xlfn.XLOOKUP(A523,[1]邦达数据库!$A:$A,[1]邦达数据库!$C:$C)</f>
        <v>#N/A</v>
      </c>
    </row>
    <row r="524" ht="30" customHeight="1" spans="1:6">
      <c r="A524" s="2" t="s">
        <v>1345</v>
      </c>
      <c r="B524" s="3" t="s">
        <v>1346</v>
      </c>
      <c r="C524" s="3" t="s">
        <v>412</v>
      </c>
      <c r="D524" s="3" t="s">
        <v>1347</v>
      </c>
      <c r="E524" s="3" t="s">
        <v>1348</v>
      </c>
      <c r="F524" t="e">
        <f>_xlfn.XLOOKUP(A524,[1]邦达数据库!$A:$A,[1]邦达数据库!$C:$C)</f>
        <v>#N/A</v>
      </c>
    </row>
    <row r="525" ht="30" customHeight="1" spans="1:6">
      <c r="A525" s="4" t="s">
        <v>1349</v>
      </c>
      <c r="B525" s="5" t="s">
        <v>1350</v>
      </c>
      <c r="C525" s="5" t="s">
        <v>265</v>
      </c>
      <c r="D525" s="5" t="s">
        <v>568</v>
      </c>
      <c r="E525" s="5" t="s">
        <v>569</v>
      </c>
      <c r="F525" t="e">
        <f>_xlfn.XLOOKUP(A525,[1]邦达数据库!$A:$A,[1]邦达数据库!$C:$C)</f>
        <v>#N/A</v>
      </c>
    </row>
    <row r="526" ht="30" customHeight="1" spans="1:6">
      <c r="A526" s="2" t="s">
        <v>1351</v>
      </c>
      <c r="B526" s="3" t="s">
        <v>1346</v>
      </c>
      <c r="C526" s="3" t="s">
        <v>412</v>
      </c>
      <c r="D526" s="3" t="s">
        <v>1285</v>
      </c>
      <c r="E526" s="3" t="s">
        <v>1286</v>
      </c>
      <c r="F526" t="e">
        <f>_xlfn.XLOOKUP(A526,[1]邦达数据库!$A:$A,[1]邦达数据库!$C:$C)</f>
        <v>#N/A</v>
      </c>
    </row>
    <row r="527" ht="30" customHeight="1" spans="1:6">
      <c r="A527" s="4" t="s">
        <v>1352</v>
      </c>
      <c r="B527" s="5" t="s">
        <v>122</v>
      </c>
      <c r="C527" s="5" t="s">
        <v>1108</v>
      </c>
      <c r="D527" s="5" t="s">
        <v>127</v>
      </c>
      <c r="E527" s="5" t="s">
        <v>128</v>
      </c>
      <c r="F527" t="e">
        <f>_xlfn.XLOOKUP(A527,[1]邦达数据库!$A:$A,[1]邦达数据库!$C:$C)</f>
        <v>#N/A</v>
      </c>
    </row>
    <row r="528" ht="30" customHeight="1" spans="1:6">
      <c r="A528" s="2" t="s">
        <v>1353</v>
      </c>
      <c r="B528" s="3" t="s">
        <v>1354</v>
      </c>
      <c r="C528" s="3" t="s">
        <v>63</v>
      </c>
      <c r="D528" s="3" t="s">
        <v>319</v>
      </c>
      <c r="E528" s="3" t="s">
        <v>320</v>
      </c>
      <c r="F528" t="e">
        <f>_xlfn.XLOOKUP(A528,[1]邦达数据库!$A:$A,[1]邦达数据库!$C:$C)</f>
        <v>#N/A</v>
      </c>
    </row>
    <row r="529" ht="30" customHeight="1" spans="1:6">
      <c r="A529" s="4" t="s">
        <v>1355</v>
      </c>
      <c r="B529" s="5" t="s">
        <v>1354</v>
      </c>
      <c r="C529" s="5" t="s">
        <v>63</v>
      </c>
      <c r="D529" s="5" t="s">
        <v>1356</v>
      </c>
      <c r="E529" s="5" t="s">
        <v>1357</v>
      </c>
      <c r="F529" t="e">
        <f>_xlfn.XLOOKUP(A529,[1]邦达数据库!$A:$A,[1]邦达数据库!$C:$C)</f>
        <v>#N/A</v>
      </c>
    </row>
    <row r="530" ht="30" customHeight="1" spans="1:6">
      <c r="A530" s="2" t="s">
        <v>1358</v>
      </c>
      <c r="B530" s="3" t="s">
        <v>1354</v>
      </c>
      <c r="C530" s="3" t="s">
        <v>63</v>
      </c>
      <c r="D530" s="3" t="s">
        <v>319</v>
      </c>
      <c r="E530" s="3" t="s">
        <v>320</v>
      </c>
      <c r="F530" t="e">
        <f>_xlfn.XLOOKUP(A530,[1]邦达数据库!$A:$A,[1]邦达数据库!$C:$C)</f>
        <v>#N/A</v>
      </c>
    </row>
    <row r="531" ht="30" customHeight="1" spans="1:6">
      <c r="A531" s="4" t="s">
        <v>1359</v>
      </c>
      <c r="B531" s="5" t="s">
        <v>1354</v>
      </c>
      <c r="C531" s="5" t="s">
        <v>63</v>
      </c>
      <c r="D531" s="5" t="s">
        <v>319</v>
      </c>
      <c r="E531" s="5" t="s">
        <v>320</v>
      </c>
      <c r="F531" t="e">
        <f>_xlfn.XLOOKUP(A531,[1]邦达数据库!$A:$A,[1]邦达数据库!$C:$C)</f>
        <v>#N/A</v>
      </c>
    </row>
    <row r="532" ht="30" customHeight="1" spans="1:6">
      <c r="A532" s="2" t="s">
        <v>1360</v>
      </c>
      <c r="B532" s="3" t="s">
        <v>1354</v>
      </c>
      <c r="C532" s="3" t="s">
        <v>63</v>
      </c>
      <c r="D532" s="3" t="s">
        <v>1356</v>
      </c>
      <c r="E532" s="3" t="s">
        <v>1357</v>
      </c>
      <c r="F532" t="e">
        <f>_xlfn.XLOOKUP(A532,[1]邦达数据库!$A:$A,[1]邦达数据库!$C:$C)</f>
        <v>#N/A</v>
      </c>
    </row>
    <row r="533" ht="30" customHeight="1" spans="1:6">
      <c r="A533" s="4" t="s">
        <v>1361</v>
      </c>
      <c r="B533" s="5" t="s">
        <v>1354</v>
      </c>
      <c r="C533" s="5" t="s">
        <v>63</v>
      </c>
      <c r="D533" s="5" t="s">
        <v>319</v>
      </c>
      <c r="E533" s="5" t="s">
        <v>320</v>
      </c>
      <c r="F533" t="e">
        <f>_xlfn.XLOOKUP(A533,[1]邦达数据库!$A:$A,[1]邦达数据库!$C:$C)</f>
        <v>#N/A</v>
      </c>
    </row>
    <row r="534" ht="30" customHeight="1" spans="1:6">
      <c r="A534" s="2" t="s">
        <v>1362</v>
      </c>
      <c r="B534" s="3" t="s">
        <v>1354</v>
      </c>
      <c r="C534" s="3" t="s">
        <v>63</v>
      </c>
      <c r="D534" s="3" t="s">
        <v>1363</v>
      </c>
      <c r="E534" s="3" t="s">
        <v>1364</v>
      </c>
      <c r="F534" t="e">
        <f>_xlfn.XLOOKUP(A534,[1]邦达数据库!$A:$A,[1]邦达数据库!$C:$C)</f>
        <v>#N/A</v>
      </c>
    </row>
    <row r="535" ht="30" customHeight="1" spans="1:6">
      <c r="A535" s="4" t="s">
        <v>1365</v>
      </c>
      <c r="B535" s="5" t="s">
        <v>1354</v>
      </c>
      <c r="C535" s="5" t="s">
        <v>63</v>
      </c>
      <c r="D535" s="5" t="s">
        <v>319</v>
      </c>
      <c r="E535" s="5" t="s">
        <v>320</v>
      </c>
      <c r="F535" t="e">
        <f>_xlfn.XLOOKUP(A535,[1]邦达数据库!$A:$A,[1]邦达数据库!$C:$C)</f>
        <v>#N/A</v>
      </c>
    </row>
    <row r="536" ht="30" customHeight="1" spans="1:6">
      <c r="A536" s="2" t="s">
        <v>1366</v>
      </c>
      <c r="B536" s="3" t="s">
        <v>1354</v>
      </c>
      <c r="C536" s="3" t="s">
        <v>63</v>
      </c>
      <c r="D536" s="3" t="s">
        <v>1356</v>
      </c>
      <c r="E536" s="3" t="s">
        <v>1357</v>
      </c>
      <c r="F536" t="e">
        <f>_xlfn.XLOOKUP(A536,[1]邦达数据库!$A:$A,[1]邦达数据库!$C:$C)</f>
        <v>#N/A</v>
      </c>
    </row>
    <row r="537" ht="30" customHeight="1" spans="1:6">
      <c r="A537" s="4" t="s">
        <v>1367</v>
      </c>
      <c r="B537" s="5" t="s">
        <v>1354</v>
      </c>
      <c r="C537" s="5" t="s">
        <v>63</v>
      </c>
      <c r="D537" s="5" t="s">
        <v>1356</v>
      </c>
      <c r="E537" s="5" t="s">
        <v>1357</v>
      </c>
      <c r="F537" t="e">
        <f>_xlfn.XLOOKUP(A537,[1]邦达数据库!$A:$A,[1]邦达数据库!$C:$C)</f>
        <v>#N/A</v>
      </c>
    </row>
    <row r="538" ht="30" customHeight="1" spans="1:6">
      <c r="A538" s="2" t="s">
        <v>1368</v>
      </c>
      <c r="B538" s="3" t="s">
        <v>1354</v>
      </c>
      <c r="C538" s="3" t="s">
        <v>63</v>
      </c>
      <c r="D538" s="3" t="s">
        <v>1369</v>
      </c>
      <c r="E538" s="3" t="s">
        <v>1370</v>
      </c>
      <c r="F538" t="e">
        <f>_xlfn.XLOOKUP(A538,[1]邦达数据库!$A:$A,[1]邦达数据库!$C:$C)</f>
        <v>#N/A</v>
      </c>
    </row>
    <row r="539" ht="30" customHeight="1" spans="1:6">
      <c r="A539" s="4" t="s">
        <v>1371</v>
      </c>
      <c r="B539" s="5" t="s">
        <v>1354</v>
      </c>
      <c r="C539" s="5" t="s">
        <v>63</v>
      </c>
      <c r="D539" s="5" t="s">
        <v>1356</v>
      </c>
      <c r="E539" s="5" t="s">
        <v>1357</v>
      </c>
      <c r="F539" t="e">
        <f>_xlfn.XLOOKUP(A539,[1]邦达数据库!$A:$A,[1]邦达数据库!$C:$C)</f>
        <v>#N/A</v>
      </c>
    </row>
    <row r="540" ht="30" customHeight="1" spans="1:6">
      <c r="A540" s="2" t="s">
        <v>1372</v>
      </c>
      <c r="B540" s="3" t="s">
        <v>1354</v>
      </c>
      <c r="C540" s="3" t="s">
        <v>63</v>
      </c>
      <c r="D540" s="3" t="s">
        <v>1369</v>
      </c>
      <c r="E540" s="3" t="s">
        <v>1370</v>
      </c>
      <c r="F540" t="e">
        <f>_xlfn.XLOOKUP(A540,[1]邦达数据库!$A:$A,[1]邦达数据库!$C:$C)</f>
        <v>#N/A</v>
      </c>
    </row>
    <row r="541" ht="30" customHeight="1" spans="1:6">
      <c r="A541" s="4" t="s">
        <v>1373</v>
      </c>
      <c r="B541" s="5" t="s">
        <v>1374</v>
      </c>
      <c r="C541" s="5" t="s">
        <v>335</v>
      </c>
      <c r="D541" s="5" t="s">
        <v>271</v>
      </c>
      <c r="E541" s="5" t="s">
        <v>272</v>
      </c>
      <c r="F541" t="e">
        <f>_xlfn.XLOOKUP(A541,[1]邦达数据库!$A:$A,[1]邦达数据库!$C:$C)</f>
        <v>#N/A</v>
      </c>
    </row>
    <row r="542" ht="30" customHeight="1" spans="1:6">
      <c r="A542" s="2" t="s">
        <v>1375</v>
      </c>
      <c r="B542" s="3" t="s">
        <v>1374</v>
      </c>
      <c r="C542" s="3" t="s">
        <v>1376</v>
      </c>
      <c r="D542" s="3" t="s">
        <v>572</v>
      </c>
      <c r="E542" s="3" t="s">
        <v>573</v>
      </c>
      <c r="F542" t="e">
        <f>_xlfn.XLOOKUP(A542,[1]邦达数据库!$A:$A,[1]邦达数据库!$C:$C)</f>
        <v>#N/A</v>
      </c>
    </row>
    <row r="543" ht="30" customHeight="1" spans="1:6">
      <c r="A543" s="4" t="s">
        <v>1377</v>
      </c>
      <c r="B543" s="5" t="s">
        <v>1374</v>
      </c>
      <c r="C543" s="5" t="s">
        <v>335</v>
      </c>
      <c r="D543" s="5" t="s">
        <v>271</v>
      </c>
      <c r="E543" s="5" t="s">
        <v>272</v>
      </c>
      <c r="F543" t="e">
        <f>_xlfn.XLOOKUP(A543,[1]邦达数据库!$A:$A,[1]邦达数据库!$C:$C)</f>
        <v>#N/A</v>
      </c>
    </row>
    <row r="544" ht="30" customHeight="1" spans="1:6">
      <c r="A544" s="2" t="s">
        <v>1378</v>
      </c>
      <c r="B544" s="3" t="s">
        <v>1379</v>
      </c>
      <c r="C544" s="3" t="s">
        <v>1027</v>
      </c>
      <c r="D544" s="3" t="s">
        <v>1380</v>
      </c>
      <c r="E544" s="3" t="s">
        <v>1381</v>
      </c>
      <c r="F544" t="e">
        <f>_xlfn.XLOOKUP(A544,[1]邦达数据库!$A:$A,[1]邦达数据库!$C:$C)</f>
        <v>#N/A</v>
      </c>
    </row>
    <row r="545" ht="30" customHeight="1" spans="1:6">
      <c r="A545" s="4" t="s">
        <v>1382</v>
      </c>
      <c r="B545" s="5" t="s">
        <v>1379</v>
      </c>
      <c r="C545" s="5" t="s">
        <v>1027</v>
      </c>
      <c r="D545" s="5" t="s">
        <v>295</v>
      </c>
      <c r="E545" s="5" t="s">
        <v>296</v>
      </c>
      <c r="F545" t="e">
        <f>_xlfn.XLOOKUP(A545,[1]邦达数据库!$A:$A,[1]邦达数据库!$C:$C)</f>
        <v>#N/A</v>
      </c>
    </row>
    <row r="546" ht="30" customHeight="1" spans="1:6">
      <c r="A546" s="2" t="s">
        <v>1383</v>
      </c>
      <c r="B546" s="3" t="s">
        <v>1384</v>
      </c>
      <c r="C546" s="3" t="s">
        <v>249</v>
      </c>
      <c r="D546" s="3" t="s">
        <v>794</v>
      </c>
      <c r="E546" s="3" t="s">
        <v>795</v>
      </c>
      <c r="F546" t="e">
        <f>_xlfn.XLOOKUP(A546,[1]邦达数据库!$A:$A,[1]邦达数据库!$C:$C)</f>
        <v>#N/A</v>
      </c>
    </row>
    <row r="547" ht="30" customHeight="1" spans="1:6">
      <c r="A547" s="4" t="s">
        <v>1385</v>
      </c>
      <c r="B547" s="5" t="s">
        <v>1386</v>
      </c>
      <c r="C547" s="5" t="s">
        <v>725</v>
      </c>
      <c r="D547" s="5" t="s">
        <v>117</v>
      </c>
      <c r="E547" s="5" t="s">
        <v>118</v>
      </c>
      <c r="F547" t="e">
        <f>_xlfn.XLOOKUP(A547,[1]邦达数据库!$A:$A,[1]邦达数据库!$C:$C)</f>
        <v>#N/A</v>
      </c>
    </row>
    <row r="548" ht="30" customHeight="1" spans="1:6">
      <c r="A548" s="2" t="s">
        <v>1387</v>
      </c>
      <c r="B548" s="3" t="s">
        <v>1388</v>
      </c>
      <c r="C548" s="3" t="s">
        <v>725</v>
      </c>
      <c r="D548" s="3" t="s">
        <v>1389</v>
      </c>
      <c r="E548" s="3" t="s">
        <v>1390</v>
      </c>
      <c r="F548" t="e">
        <f>_xlfn.XLOOKUP(A548,[1]邦达数据库!$A:$A,[1]邦达数据库!$C:$C)</f>
        <v>#N/A</v>
      </c>
    </row>
    <row r="549" ht="30" customHeight="1" spans="1:6">
      <c r="A549" s="4" t="s">
        <v>1391</v>
      </c>
      <c r="B549" s="5" t="s">
        <v>1392</v>
      </c>
      <c r="C549" s="5" t="s">
        <v>1393</v>
      </c>
      <c r="D549" s="5" t="s">
        <v>1394</v>
      </c>
      <c r="E549" s="5" t="s">
        <v>1395</v>
      </c>
      <c r="F549" t="e">
        <f>_xlfn.XLOOKUP(A549,[1]邦达数据库!$A:$A,[1]邦达数据库!$C:$C)</f>
        <v>#N/A</v>
      </c>
    </row>
    <row r="550" ht="30" customHeight="1" spans="1:6">
      <c r="A550" s="4" t="s">
        <v>1396</v>
      </c>
      <c r="B550" s="5" t="s">
        <v>1397</v>
      </c>
      <c r="C550" s="5" t="s">
        <v>1398</v>
      </c>
      <c r="D550" s="5" t="s">
        <v>417</v>
      </c>
      <c r="E550" s="5" t="s">
        <v>418</v>
      </c>
      <c r="F550" t="e">
        <f>_xlfn.XLOOKUP(A550,[1]邦达数据库!$A:$A,[1]邦达数据库!$C:$C)</f>
        <v>#N/A</v>
      </c>
    </row>
    <row r="551" ht="30" customHeight="1" spans="1:6">
      <c r="A551" s="2" t="s">
        <v>1399</v>
      </c>
      <c r="B551" s="3" t="s">
        <v>209</v>
      </c>
      <c r="C551" s="3" t="s">
        <v>210</v>
      </c>
      <c r="D551" s="3" t="s">
        <v>1400</v>
      </c>
      <c r="E551" s="3" t="s">
        <v>1401</v>
      </c>
      <c r="F551" t="e">
        <f>_xlfn.XLOOKUP(A551,[1]邦达数据库!$A:$A,[1]邦达数据库!$C:$C)</f>
        <v>#N/A</v>
      </c>
    </row>
    <row r="552" ht="30" customHeight="1" spans="1:6">
      <c r="A552" s="4" t="s">
        <v>1402</v>
      </c>
      <c r="B552" s="5" t="s">
        <v>209</v>
      </c>
      <c r="C552" s="5" t="s">
        <v>210</v>
      </c>
      <c r="D552" s="5" t="s">
        <v>73</v>
      </c>
      <c r="E552" s="5" t="s">
        <v>74</v>
      </c>
      <c r="F552" t="e">
        <f>_xlfn.XLOOKUP(A552,[1]邦达数据库!$A:$A,[1]邦达数据库!$C:$C)</f>
        <v>#N/A</v>
      </c>
    </row>
    <row r="553" ht="30" customHeight="1" spans="1:6">
      <c r="A553" s="2" t="s">
        <v>1403</v>
      </c>
      <c r="B553" s="3" t="s">
        <v>209</v>
      </c>
      <c r="C553" s="3" t="s">
        <v>210</v>
      </c>
      <c r="D553" s="3" t="s">
        <v>73</v>
      </c>
      <c r="E553" s="3" t="s">
        <v>74</v>
      </c>
      <c r="F553" t="e">
        <f>_xlfn.XLOOKUP(A553,[1]邦达数据库!$A:$A,[1]邦达数据库!$C:$C)</f>
        <v>#N/A</v>
      </c>
    </row>
    <row r="554" ht="30" customHeight="1" spans="1:6">
      <c r="A554" s="4" t="s">
        <v>1404</v>
      </c>
      <c r="B554" s="5" t="s">
        <v>1405</v>
      </c>
      <c r="C554" s="5" t="s">
        <v>265</v>
      </c>
      <c r="D554" s="5" t="s">
        <v>742</v>
      </c>
      <c r="E554" s="5" t="s">
        <v>743</v>
      </c>
      <c r="F554" t="e">
        <f>_xlfn.XLOOKUP(A554,[1]邦达数据库!$A:$A,[1]邦达数据库!$C:$C)</f>
        <v>#N/A</v>
      </c>
    </row>
    <row r="555" ht="30" customHeight="1" spans="1:6">
      <c r="A555" s="2" t="s">
        <v>1406</v>
      </c>
      <c r="B555" s="3" t="s">
        <v>1407</v>
      </c>
      <c r="C555" s="3" t="s">
        <v>270</v>
      </c>
      <c r="D555" s="3" t="s">
        <v>524</v>
      </c>
      <c r="E555" s="3" t="s">
        <v>525</v>
      </c>
      <c r="F555" t="str">
        <f>_xlfn.XLOOKUP(A555,[1]邦达数据库!$A:$A,[1]邦达数据库!$C:$C)</f>
        <v>8425.42.0000</v>
      </c>
    </row>
    <row r="556" ht="30" customHeight="1" spans="1:6">
      <c r="A556" s="4" t="s">
        <v>1408</v>
      </c>
      <c r="B556" s="5" t="s">
        <v>1407</v>
      </c>
      <c r="C556" s="5" t="s">
        <v>270</v>
      </c>
      <c r="D556" s="5" t="s">
        <v>524</v>
      </c>
      <c r="E556" s="5" t="s">
        <v>525</v>
      </c>
      <c r="F556" t="str">
        <f>_xlfn.XLOOKUP(A556,[1]邦达数据库!$A:$A,[1]邦达数据库!$C:$C)</f>
        <v>8425.42.0000</v>
      </c>
    </row>
    <row r="557" ht="30" customHeight="1" spans="1:6">
      <c r="A557" s="2" t="s">
        <v>1409</v>
      </c>
      <c r="B557" s="3" t="s">
        <v>1407</v>
      </c>
      <c r="C557" s="3" t="s">
        <v>270</v>
      </c>
      <c r="D557" s="3" t="s">
        <v>18</v>
      </c>
      <c r="E557" s="3" t="s">
        <v>19</v>
      </c>
      <c r="F557" t="str">
        <f>_xlfn.XLOOKUP(A557,[1]邦达数据库!$A:$A,[1]邦达数据库!$C:$C)</f>
        <v>8425.42.0000</v>
      </c>
    </row>
    <row r="558" ht="30" customHeight="1" spans="1:6">
      <c r="A558" s="4" t="s">
        <v>1410</v>
      </c>
      <c r="B558" s="5" t="s">
        <v>1407</v>
      </c>
      <c r="C558" s="5" t="s">
        <v>270</v>
      </c>
      <c r="D558" s="5" t="s">
        <v>18</v>
      </c>
      <c r="E558" s="5" t="s">
        <v>19</v>
      </c>
      <c r="F558" t="str">
        <f>_xlfn.XLOOKUP(A558,[1]邦达数据库!$A:$A,[1]邦达数据库!$C:$C)</f>
        <v>8425.42.0000</v>
      </c>
    </row>
    <row r="559" ht="30" customHeight="1" spans="1:6">
      <c r="A559" s="2" t="s">
        <v>1411</v>
      </c>
      <c r="B559" s="3" t="s">
        <v>1407</v>
      </c>
      <c r="C559" s="3" t="s">
        <v>270</v>
      </c>
      <c r="D559" s="3" t="s">
        <v>404</v>
      </c>
      <c r="E559" s="3" t="s">
        <v>405</v>
      </c>
      <c r="F559" t="e">
        <f>_xlfn.XLOOKUP(A559,[1]邦达数据库!$A:$A,[1]邦达数据库!$C:$C)</f>
        <v>#N/A</v>
      </c>
    </row>
    <row r="560" ht="30" customHeight="1" spans="1:6">
      <c r="A560" s="4" t="s">
        <v>1412</v>
      </c>
      <c r="B560" s="5" t="s">
        <v>1407</v>
      </c>
      <c r="C560" s="5" t="s">
        <v>270</v>
      </c>
      <c r="D560" s="5" t="s">
        <v>524</v>
      </c>
      <c r="E560" s="5" t="s">
        <v>525</v>
      </c>
      <c r="F560" t="e">
        <f>_xlfn.XLOOKUP(A560,[1]邦达数据库!$A:$A,[1]邦达数据库!$C:$C)</f>
        <v>#N/A</v>
      </c>
    </row>
    <row r="561" ht="30" customHeight="1" spans="1:6">
      <c r="A561" s="2" t="s">
        <v>1413</v>
      </c>
      <c r="B561" s="3" t="s">
        <v>1414</v>
      </c>
      <c r="C561" s="3" t="s">
        <v>157</v>
      </c>
      <c r="D561" s="3" t="s">
        <v>482</v>
      </c>
      <c r="E561" s="3" t="s">
        <v>483</v>
      </c>
      <c r="F561" t="e">
        <f>_xlfn.XLOOKUP(A561,[1]邦达数据库!$A:$A,[1]邦达数据库!$C:$C)</f>
        <v>#N/A</v>
      </c>
    </row>
    <row r="562" ht="30" customHeight="1" spans="1:6">
      <c r="A562" s="4" t="s">
        <v>1415</v>
      </c>
      <c r="B562" s="5" t="s">
        <v>1416</v>
      </c>
      <c r="C562" s="5" t="s">
        <v>270</v>
      </c>
      <c r="D562" s="5" t="s">
        <v>1417</v>
      </c>
      <c r="E562" s="5" t="s">
        <v>1418</v>
      </c>
      <c r="F562" t="str">
        <f>_xlfn.XLOOKUP(A562,[1]邦达数据库!$A:$A,[1]邦达数据库!$C:$C)</f>
        <v>8425.49.0000</v>
      </c>
    </row>
    <row r="563" ht="30" customHeight="1" spans="1:6">
      <c r="A563" s="2" t="s">
        <v>1419</v>
      </c>
      <c r="B563" s="3" t="s">
        <v>1416</v>
      </c>
      <c r="C563" s="3" t="s">
        <v>270</v>
      </c>
      <c r="D563" s="3" t="s">
        <v>1420</v>
      </c>
      <c r="E563" s="3" t="s">
        <v>1421</v>
      </c>
      <c r="F563" t="str">
        <f>_xlfn.XLOOKUP(A563,[1]邦达数据库!$A:$A,[1]邦达数据库!$C:$C)</f>
        <v>8425.49.0000</v>
      </c>
    </row>
    <row r="564" ht="30" customHeight="1" spans="1:6">
      <c r="A564" s="4" t="s">
        <v>1422</v>
      </c>
      <c r="B564" s="5" t="s">
        <v>1416</v>
      </c>
      <c r="C564" s="5" t="s">
        <v>270</v>
      </c>
      <c r="D564" s="5" t="s">
        <v>1423</v>
      </c>
      <c r="E564" s="5" t="s">
        <v>1424</v>
      </c>
      <c r="F564" t="str">
        <f>_xlfn.XLOOKUP(A564,[1]邦达数据库!$A:$A,[1]邦达数据库!$C:$C)</f>
        <v>8425.49.0000</v>
      </c>
    </row>
    <row r="565" ht="30" customHeight="1" spans="1:6">
      <c r="A565" s="2" t="s">
        <v>1425</v>
      </c>
      <c r="B565" s="3" t="s">
        <v>1416</v>
      </c>
      <c r="C565" s="3" t="s">
        <v>270</v>
      </c>
      <c r="D565" s="3" t="s">
        <v>1426</v>
      </c>
      <c r="E565" s="3" t="s">
        <v>1427</v>
      </c>
      <c r="F565" t="str">
        <f>_xlfn.XLOOKUP(A565,[1]邦达数据库!$A:$A,[1]邦达数据库!$C:$C)</f>
        <v>8425.49.0000</v>
      </c>
    </row>
    <row r="566" ht="30" customHeight="1" spans="1:6">
      <c r="A566" s="4" t="s">
        <v>1428</v>
      </c>
      <c r="B566" s="5" t="s">
        <v>1416</v>
      </c>
      <c r="C566" s="5" t="s">
        <v>270</v>
      </c>
      <c r="D566" s="5" t="s">
        <v>1429</v>
      </c>
      <c r="E566" s="5" t="s">
        <v>1430</v>
      </c>
      <c r="F566" t="str">
        <f>_xlfn.XLOOKUP(A566,[1]邦达数据库!$A:$A,[1]邦达数据库!$C:$C)</f>
        <v>8425.49.0000</v>
      </c>
    </row>
    <row r="567" ht="30" customHeight="1" spans="1:6">
      <c r="A567" s="2" t="s">
        <v>1431</v>
      </c>
      <c r="B567" s="3" t="s">
        <v>1416</v>
      </c>
      <c r="C567" s="3" t="s">
        <v>270</v>
      </c>
      <c r="D567" s="3" t="s">
        <v>1432</v>
      </c>
      <c r="E567" s="3" t="s">
        <v>1433</v>
      </c>
      <c r="F567" t="str">
        <f>_xlfn.XLOOKUP(A567,[1]邦达数据库!$A:$A,[1]邦达数据库!$C:$C)</f>
        <v>8425.49.0000</v>
      </c>
    </row>
    <row r="568" ht="30" customHeight="1" spans="1:6">
      <c r="A568" s="4" t="s">
        <v>1434</v>
      </c>
      <c r="B568" s="5" t="s">
        <v>797</v>
      </c>
      <c r="C568" s="5" t="s">
        <v>798</v>
      </c>
      <c r="D568" s="5" t="s">
        <v>799</v>
      </c>
      <c r="E568" s="5" t="s">
        <v>800</v>
      </c>
      <c r="F568" t="e">
        <f>_xlfn.XLOOKUP(A568,[1]邦达数据库!$A:$A,[1]邦达数据库!$C:$C)</f>
        <v>#N/A</v>
      </c>
    </row>
    <row r="569" ht="30" customHeight="1" spans="1:6">
      <c r="A569" s="2" t="s">
        <v>1435</v>
      </c>
      <c r="B569" s="3" t="s">
        <v>1436</v>
      </c>
      <c r="C569" s="3" t="s">
        <v>1437</v>
      </c>
      <c r="D569" s="3" t="s">
        <v>124</v>
      </c>
      <c r="E569" s="3" t="s">
        <v>125</v>
      </c>
      <c r="F569" t="e">
        <f>_xlfn.XLOOKUP(A569,[1]邦达数据库!$A:$A,[1]邦达数据库!$C:$C)</f>
        <v>#N/A</v>
      </c>
    </row>
    <row r="570" ht="30" customHeight="1" spans="1:6">
      <c r="A570" s="4" t="s">
        <v>1438</v>
      </c>
      <c r="B570" s="5" t="s">
        <v>1436</v>
      </c>
      <c r="C570" s="5" t="s">
        <v>1437</v>
      </c>
      <c r="D570" s="5" t="s">
        <v>124</v>
      </c>
      <c r="E570" s="5" t="s">
        <v>125</v>
      </c>
      <c r="F570" t="e">
        <f>_xlfn.XLOOKUP(A570,[1]邦达数据库!$A:$A,[1]邦达数据库!$C:$C)</f>
        <v>#N/A</v>
      </c>
    </row>
    <row r="571" ht="30" customHeight="1" spans="1:6">
      <c r="A571" s="2" t="s">
        <v>1439</v>
      </c>
      <c r="B571" s="3" t="s">
        <v>1436</v>
      </c>
      <c r="C571" s="3" t="s">
        <v>1437</v>
      </c>
      <c r="D571" s="3" t="s">
        <v>127</v>
      </c>
      <c r="E571" s="3" t="s">
        <v>128</v>
      </c>
      <c r="F571" t="e">
        <f>_xlfn.XLOOKUP(A571,[1]邦达数据库!$A:$A,[1]邦达数据库!$C:$C)</f>
        <v>#N/A</v>
      </c>
    </row>
    <row r="572" ht="30" customHeight="1" spans="1:6">
      <c r="A572" s="4" t="s">
        <v>1440</v>
      </c>
      <c r="B572" s="5" t="s">
        <v>1441</v>
      </c>
      <c r="C572" s="5" t="s">
        <v>1437</v>
      </c>
      <c r="D572" s="5" t="s">
        <v>436</v>
      </c>
      <c r="E572" s="5" t="s">
        <v>437</v>
      </c>
      <c r="F572" t="e">
        <f>_xlfn.XLOOKUP(A572,[1]邦达数据库!$A:$A,[1]邦达数据库!$C:$C)</f>
        <v>#N/A</v>
      </c>
    </row>
    <row r="573" ht="30" customHeight="1" spans="1:6">
      <c r="A573" s="2" t="s">
        <v>1442</v>
      </c>
      <c r="B573" s="3" t="s">
        <v>1443</v>
      </c>
      <c r="C573" s="3" t="s">
        <v>1444</v>
      </c>
      <c r="D573" s="3" t="s">
        <v>1278</v>
      </c>
      <c r="E573" s="3" t="s">
        <v>1279</v>
      </c>
      <c r="F573" t="e">
        <f>_xlfn.XLOOKUP(A573,[1]邦达数据库!$A:$A,[1]邦达数据库!$C:$C)</f>
        <v>#N/A</v>
      </c>
    </row>
    <row r="574" ht="30" customHeight="1" spans="1:6">
      <c r="A574" s="2" t="s">
        <v>1445</v>
      </c>
      <c r="B574" s="3" t="s">
        <v>1446</v>
      </c>
      <c r="C574" s="3" t="s">
        <v>1447</v>
      </c>
      <c r="D574" s="3" t="s">
        <v>507</v>
      </c>
      <c r="E574" s="3" t="s">
        <v>508</v>
      </c>
      <c r="F574" t="e">
        <f>_xlfn.XLOOKUP(A574,[1]邦达数据库!$A:$A,[1]邦达数据库!$C:$C)</f>
        <v>#N/A</v>
      </c>
    </row>
    <row r="575" ht="30" customHeight="1" spans="1:6">
      <c r="A575" s="4" t="s">
        <v>1448</v>
      </c>
      <c r="B575" s="5" t="s">
        <v>1446</v>
      </c>
      <c r="C575" s="5" t="s">
        <v>1447</v>
      </c>
      <c r="D575" s="5" t="s">
        <v>1449</v>
      </c>
      <c r="E575" s="5" t="s">
        <v>1450</v>
      </c>
      <c r="F575" t="str">
        <f>_xlfn.XLOOKUP(A575,[1]邦达数据库!$A:$A,[1]邦达数据库!$C:$C)</f>
        <v>8472.90.8000</v>
      </c>
    </row>
    <row r="576" ht="30" customHeight="1" spans="1:6">
      <c r="A576" s="2" t="s">
        <v>1451</v>
      </c>
      <c r="B576" s="3" t="s">
        <v>1452</v>
      </c>
      <c r="C576" s="3" t="s">
        <v>1447</v>
      </c>
      <c r="D576" s="3" t="s">
        <v>1104</v>
      </c>
      <c r="E576" s="3" t="s">
        <v>1105</v>
      </c>
      <c r="F576" t="e">
        <f>_xlfn.XLOOKUP(A576,[1]邦达数据库!$A:$A,[1]邦达数据库!$C:$C)</f>
        <v>#N/A</v>
      </c>
    </row>
    <row r="577" ht="30" customHeight="1" spans="1:6">
      <c r="A577" s="4" t="s">
        <v>1453</v>
      </c>
      <c r="B577" s="5" t="s">
        <v>1452</v>
      </c>
      <c r="C577" s="5" t="s">
        <v>1447</v>
      </c>
      <c r="D577" s="5" t="s">
        <v>1454</v>
      </c>
      <c r="E577" s="5" t="s">
        <v>1455</v>
      </c>
      <c r="F577" t="e">
        <f>_xlfn.XLOOKUP(A577,[1]邦达数据库!$A:$A,[1]邦达数据库!$C:$C)</f>
        <v>#N/A</v>
      </c>
    </row>
    <row r="578" ht="30" customHeight="1" spans="1:6">
      <c r="A578" s="2" t="s">
        <v>1456</v>
      </c>
      <c r="B578" s="3" t="s">
        <v>1457</v>
      </c>
      <c r="C578" s="3" t="s">
        <v>1108</v>
      </c>
      <c r="D578" s="3" t="s">
        <v>1285</v>
      </c>
      <c r="E578" s="3" t="s">
        <v>1286</v>
      </c>
      <c r="F578" t="e">
        <f>_xlfn.XLOOKUP(A578,[1]邦达数据库!$A:$A,[1]邦达数据库!$C:$C)</f>
        <v>#N/A</v>
      </c>
    </row>
    <row r="579" ht="30" customHeight="1" spans="1:6">
      <c r="A579" s="4" t="s">
        <v>1458</v>
      </c>
      <c r="B579" s="5" t="s">
        <v>1459</v>
      </c>
      <c r="C579" s="5" t="s">
        <v>1108</v>
      </c>
      <c r="D579" s="5" t="s">
        <v>1460</v>
      </c>
      <c r="E579" s="5" t="s">
        <v>1461</v>
      </c>
      <c r="F579" t="e">
        <f>_xlfn.XLOOKUP(A579,[1]邦达数据库!$A:$A,[1]邦达数据库!$C:$C)</f>
        <v>#N/A</v>
      </c>
    </row>
    <row r="580" ht="30" customHeight="1" spans="1:6">
      <c r="A580" s="2" t="s">
        <v>1462</v>
      </c>
      <c r="B580" s="3" t="s">
        <v>1463</v>
      </c>
      <c r="C580" s="3" t="s">
        <v>1464</v>
      </c>
      <c r="D580" s="3" t="s">
        <v>478</v>
      </c>
      <c r="E580" s="3" t="s">
        <v>479</v>
      </c>
      <c r="F580" t="e">
        <f>_xlfn.XLOOKUP(A580,[1]邦达数据库!$A:$A,[1]邦达数据库!$C:$C)</f>
        <v>#N/A</v>
      </c>
    </row>
    <row r="581" ht="30" customHeight="1" spans="1:6">
      <c r="A581" s="4" t="s">
        <v>1465</v>
      </c>
      <c r="B581" s="5" t="s">
        <v>1466</v>
      </c>
      <c r="C581" s="5" t="s">
        <v>1467</v>
      </c>
      <c r="D581" s="5" t="s">
        <v>64</v>
      </c>
      <c r="E581" s="5" t="s">
        <v>65</v>
      </c>
      <c r="F581" t="e">
        <f>_xlfn.XLOOKUP(A581,[1]邦达数据库!$A:$A,[1]邦达数据库!$C:$C)</f>
        <v>#N/A</v>
      </c>
    </row>
    <row r="582" ht="30" customHeight="1" spans="1:6">
      <c r="A582" s="2" t="s">
        <v>1468</v>
      </c>
      <c r="B582" s="3" t="s">
        <v>1459</v>
      </c>
      <c r="C582" s="3" t="s">
        <v>1469</v>
      </c>
      <c r="D582" s="3" t="s">
        <v>1470</v>
      </c>
      <c r="E582" s="3" t="s">
        <v>1471</v>
      </c>
      <c r="F582" t="e">
        <f>_xlfn.XLOOKUP(A582,[1]邦达数据库!$A:$A,[1]邦达数据库!$C:$C)</f>
        <v>#N/A</v>
      </c>
    </row>
    <row r="583" ht="30" customHeight="1" spans="1:6">
      <c r="A583" s="2" t="s">
        <v>1472</v>
      </c>
      <c r="B583" s="3" t="s">
        <v>1473</v>
      </c>
      <c r="C583" s="3" t="s">
        <v>865</v>
      </c>
      <c r="D583" s="3" t="s">
        <v>1474</v>
      </c>
      <c r="E583" s="3" t="s">
        <v>1475</v>
      </c>
      <c r="F583" t="e">
        <f>_xlfn.XLOOKUP(A583,[1]邦达数据库!$A:$A,[1]邦达数据库!$C:$C)</f>
        <v>#N/A</v>
      </c>
    </row>
    <row r="584" ht="30" customHeight="1" spans="1:6">
      <c r="A584" s="4" t="s">
        <v>1476</v>
      </c>
      <c r="B584" s="5" t="s">
        <v>1473</v>
      </c>
      <c r="C584" s="5" t="s">
        <v>1477</v>
      </c>
      <c r="D584" s="5" t="s">
        <v>1478</v>
      </c>
      <c r="E584" s="5" t="s">
        <v>1479</v>
      </c>
      <c r="F584" t="e">
        <f>_xlfn.XLOOKUP(A584,[1]邦达数据库!$A:$A,[1]邦达数据库!$C:$C)</f>
        <v>#N/A</v>
      </c>
    </row>
    <row r="585" ht="30" customHeight="1" spans="1:6">
      <c r="A585" s="2" t="s">
        <v>1480</v>
      </c>
      <c r="B585" s="3" t="s">
        <v>1481</v>
      </c>
      <c r="C585" s="3" t="s">
        <v>716</v>
      </c>
      <c r="D585" s="3" t="s">
        <v>295</v>
      </c>
      <c r="E585" s="3" t="s">
        <v>296</v>
      </c>
      <c r="F585" t="e">
        <f>_xlfn.XLOOKUP(A585,[1]邦达数据库!$A:$A,[1]邦达数据库!$C:$C)</f>
        <v>#N/A</v>
      </c>
    </row>
    <row r="586" ht="30" customHeight="1" spans="1:6">
      <c r="A586" s="4" t="s">
        <v>1482</v>
      </c>
      <c r="B586" s="5" t="s">
        <v>1483</v>
      </c>
      <c r="C586" s="5" t="s">
        <v>699</v>
      </c>
      <c r="D586" s="5" t="s">
        <v>1484</v>
      </c>
      <c r="E586" s="5" t="s">
        <v>1485</v>
      </c>
      <c r="F586" t="e">
        <f>_xlfn.XLOOKUP(A586,[1]邦达数据库!$A:$A,[1]邦达数据库!$C:$C)</f>
        <v>#N/A</v>
      </c>
    </row>
    <row r="587" ht="30" customHeight="1" spans="1:6">
      <c r="A587" s="4" t="s">
        <v>1486</v>
      </c>
      <c r="B587" s="5" t="s">
        <v>1483</v>
      </c>
      <c r="C587" s="5" t="s">
        <v>699</v>
      </c>
      <c r="D587" s="5" t="s">
        <v>1487</v>
      </c>
      <c r="E587" s="5" t="s">
        <v>1488</v>
      </c>
      <c r="F587" t="e">
        <f>_xlfn.XLOOKUP(A587,[1]邦达数据库!$A:$A,[1]邦达数据库!$C:$C)</f>
        <v>#N/A</v>
      </c>
    </row>
    <row r="588" ht="30" customHeight="1" spans="1:6">
      <c r="A588" s="2" t="s">
        <v>1489</v>
      </c>
      <c r="B588" s="3" t="s">
        <v>293</v>
      </c>
      <c r="C588" s="3" t="s">
        <v>294</v>
      </c>
      <c r="D588" s="3" t="s">
        <v>1490</v>
      </c>
      <c r="E588" s="3" t="s">
        <v>1491</v>
      </c>
      <c r="F588" t="e">
        <f>_xlfn.XLOOKUP(A588,[1]邦达数据库!$A:$A,[1]邦达数据库!$C:$C)</f>
        <v>#N/A</v>
      </c>
    </row>
    <row r="589" ht="30" customHeight="1" spans="1:6">
      <c r="A589" s="4" t="s">
        <v>1492</v>
      </c>
      <c r="B589" s="5" t="s">
        <v>1493</v>
      </c>
      <c r="C589" s="5" t="s">
        <v>335</v>
      </c>
      <c r="D589" s="5" t="s">
        <v>1091</v>
      </c>
      <c r="E589" s="5" t="s">
        <v>1092</v>
      </c>
      <c r="F589" t="e">
        <f>_xlfn.XLOOKUP(A589,[1]邦达数据库!$A:$A,[1]邦达数据库!$C:$C)</f>
        <v>#N/A</v>
      </c>
    </row>
    <row r="590" ht="30" customHeight="1" spans="1:6">
      <c r="A590" s="2" t="s">
        <v>1494</v>
      </c>
      <c r="B590" s="3" t="s">
        <v>259</v>
      </c>
      <c r="C590" s="3" t="s">
        <v>1495</v>
      </c>
      <c r="D590" s="3" t="s">
        <v>38</v>
      </c>
      <c r="E590" s="3" t="s">
        <v>39</v>
      </c>
      <c r="F590" t="e">
        <f>_xlfn.XLOOKUP(A590,[1]邦达数据库!$A:$A,[1]邦达数据库!$C:$C)</f>
        <v>#N/A</v>
      </c>
    </row>
    <row r="591" ht="30" customHeight="1" spans="1:6">
      <c r="A591" s="4" t="s">
        <v>1496</v>
      </c>
      <c r="B591" s="5" t="s">
        <v>1497</v>
      </c>
      <c r="C591" s="5" t="s">
        <v>335</v>
      </c>
      <c r="D591" s="5" t="s">
        <v>1498</v>
      </c>
      <c r="E591" s="5" t="s">
        <v>1499</v>
      </c>
      <c r="F591" t="e">
        <f>_xlfn.XLOOKUP(A591,[1]邦达数据库!$A:$A,[1]邦达数据库!$C:$C)</f>
        <v>#N/A</v>
      </c>
    </row>
    <row r="592" ht="30" customHeight="1" spans="1:6">
      <c r="A592" s="2" t="s">
        <v>1500</v>
      </c>
      <c r="B592" s="3" t="s">
        <v>1497</v>
      </c>
      <c r="C592" s="3" t="s">
        <v>335</v>
      </c>
      <c r="D592" s="3" t="s">
        <v>1498</v>
      </c>
      <c r="E592" s="3" t="s">
        <v>1499</v>
      </c>
      <c r="F592" t="e">
        <f>_xlfn.XLOOKUP(A592,[1]邦达数据库!$A:$A,[1]邦达数据库!$C:$C)</f>
        <v>#N/A</v>
      </c>
    </row>
    <row r="593" ht="30" customHeight="1" spans="1:6">
      <c r="A593" s="4" t="s">
        <v>1501</v>
      </c>
      <c r="B593" s="5" t="s">
        <v>1497</v>
      </c>
      <c r="C593" s="5" t="s">
        <v>335</v>
      </c>
      <c r="D593" s="5" t="s">
        <v>1498</v>
      </c>
      <c r="E593" s="5" t="s">
        <v>1499</v>
      </c>
      <c r="F593" t="e">
        <f>_xlfn.XLOOKUP(A593,[1]邦达数据库!$A:$A,[1]邦达数据库!$C:$C)</f>
        <v>#N/A</v>
      </c>
    </row>
    <row r="594" ht="30" customHeight="1" spans="1:6">
      <c r="A594" s="2" t="s">
        <v>1502</v>
      </c>
      <c r="B594" s="3" t="s">
        <v>1497</v>
      </c>
      <c r="C594" s="3" t="s">
        <v>335</v>
      </c>
      <c r="D594" s="3" t="s">
        <v>1498</v>
      </c>
      <c r="E594" s="3" t="s">
        <v>1499</v>
      </c>
      <c r="F594" t="e">
        <f>_xlfn.XLOOKUP(A594,[1]邦达数据库!$A:$A,[1]邦达数据库!$C:$C)</f>
        <v>#N/A</v>
      </c>
    </row>
    <row r="595" ht="30" customHeight="1" spans="1:6">
      <c r="A595" s="4" t="s">
        <v>1503</v>
      </c>
      <c r="B595" s="5" t="s">
        <v>1497</v>
      </c>
      <c r="C595" s="5" t="s">
        <v>335</v>
      </c>
      <c r="D595" s="5" t="s">
        <v>1498</v>
      </c>
      <c r="E595" s="5" t="s">
        <v>1499</v>
      </c>
      <c r="F595" t="e">
        <f>_xlfn.XLOOKUP(A595,[1]邦达数据库!$A:$A,[1]邦达数据库!$C:$C)</f>
        <v>#N/A</v>
      </c>
    </row>
    <row r="596" ht="30" customHeight="1" spans="1:6">
      <c r="A596" s="2" t="s">
        <v>1504</v>
      </c>
      <c r="B596" s="3" t="s">
        <v>1497</v>
      </c>
      <c r="C596" s="3" t="s">
        <v>335</v>
      </c>
      <c r="D596" s="3" t="s">
        <v>1498</v>
      </c>
      <c r="E596" s="3" t="s">
        <v>1499</v>
      </c>
      <c r="F596" t="e">
        <f>_xlfn.XLOOKUP(A596,[1]邦达数据库!$A:$A,[1]邦达数据库!$C:$C)</f>
        <v>#N/A</v>
      </c>
    </row>
    <row r="597" ht="30" customHeight="1" spans="1:6">
      <c r="A597" s="4" t="s">
        <v>1505</v>
      </c>
      <c r="B597" s="5" t="s">
        <v>1497</v>
      </c>
      <c r="C597" s="5" t="s">
        <v>335</v>
      </c>
      <c r="D597" s="5" t="s">
        <v>1498</v>
      </c>
      <c r="E597" s="5" t="s">
        <v>1499</v>
      </c>
      <c r="F597" t="e">
        <f>_xlfn.XLOOKUP(A597,[1]邦达数据库!$A:$A,[1]邦达数据库!$C:$C)</f>
        <v>#N/A</v>
      </c>
    </row>
    <row r="598" ht="30" customHeight="1" spans="1:6">
      <c r="A598" s="2" t="s">
        <v>1506</v>
      </c>
      <c r="B598" s="3" t="s">
        <v>1507</v>
      </c>
      <c r="C598" s="3" t="s">
        <v>17</v>
      </c>
      <c r="D598" s="3" t="s">
        <v>400</v>
      </c>
      <c r="E598" s="3" t="s">
        <v>401</v>
      </c>
      <c r="F598" t="e">
        <f>_xlfn.XLOOKUP(A598,[1]邦达数据库!$A:$A,[1]邦达数据库!$C:$C)</f>
        <v>#N/A</v>
      </c>
    </row>
    <row r="599" ht="30" customHeight="1" spans="1:6">
      <c r="A599" s="4" t="s">
        <v>1508</v>
      </c>
      <c r="B599" s="5" t="s">
        <v>1483</v>
      </c>
      <c r="C599" s="5" t="s">
        <v>699</v>
      </c>
      <c r="D599" s="5" t="s">
        <v>1509</v>
      </c>
      <c r="E599" s="5" t="s">
        <v>1510</v>
      </c>
      <c r="F599" t="e">
        <f>_xlfn.XLOOKUP(A599,[1]邦达数据库!$A:$A,[1]邦达数据库!$C:$C)</f>
        <v>#N/A</v>
      </c>
    </row>
    <row r="600" ht="30" customHeight="1" spans="1:6">
      <c r="A600" s="2" t="s">
        <v>1511</v>
      </c>
      <c r="B600" s="3" t="s">
        <v>1483</v>
      </c>
      <c r="C600" s="3" t="s">
        <v>699</v>
      </c>
      <c r="D600" s="3" t="s">
        <v>1512</v>
      </c>
      <c r="E600" s="3" t="s">
        <v>1513</v>
      </c>
      <c r="F600" t="e">
        <f>_xlfn.XLOOKUP(A600,[1]邦达数据库!$A:$A,[1]邦达数据库!$C:$C)</f>
        <v>#N/A</v>
      </c>
    </row>
    <row r="601" ht="30" customHeight="1" spans="1:6">
      <c r="A601" s="4" t="s">
        <v>1514</v>
      </c>
      <c r="B601" s="5" t="s">
        <v>1483</v>
      </c>
      <c r="C601" s="5" t="s">
        <v>699</v>
      </c>
      <c r="D601" s="5" t="s">
        <v>1515</v>
      </c>
      <c r="E601" s="5" t="s">
        <v>1516</v>
      </c>
      <c r="F601" t="e">
        <f>_xlfn.XLOOKUP(A601,[1]邦达数据库!$A:$A,[1]邦达数据库!$C:$C)</f>
        <v>#N/A</v>
      </c>
    </row>
    <row r="602" ht="30" customHeight="1" spans="1:6">
      <c r="A602" s="2" t="s">
        <v>1517</v>
      </c>
      <c r="B602" s="3" t="s">
        <v>1483</v>
      </c>
      <c r="C602" s="3" t="s">
        <v>699</v>
      </c>
      <c r="D602" s="3" t="s">
        <v>1515</v>
      </c>
      <c r="E602" s="3" t="s">
        <v>1516</v>
      </c>
      <c r="F602" t="e">
        <f>_xlfn.XLOOKUP(A602,[1]邦达数据库!$A:$A,[1]邦达数据库!$C:$C)</f>
        <v>#N/A</v>
      </c>
    </row>
    <row r="603" ht="30" customHeight="1" spans="1:6">
      <c r="A603" s="4" t="s">
        <v>1518</v>
      </c>
      <c r="B603" s="5" t="s">
        <v>1483</v>
      </c>
      <c r="C603" s="5" t="s">
        <v>699</v>
      </c>
      <c r="D603" s="5" t="s">
        <v>1519</v>
      </c>
      <c r="E603" s="5" t="s">
        <v>1520</v>
      </c>
      <c r="F603" t="e">
        <f>_xlfn.XLOOKUP(A603,[1]邦达数据库!$A:$A,[1]邦达数据库!$C:$C)</f>
        <v>#N/A</v>
      </c>
    </row>
    <row r="604" ht="30" customHeight="1" spans="1:6">
      <c r="A604" s="2" t="s">
        <v>1521</v>
      </c>
      <c r="B604" s="3" t="s">
        <v>1483</v>
      </c>
      <c r="C604" s="3" t="s">
        <v>699</v>
      </c>
      <c r="D604" s="3" t="s">
        <v>1522</v>
      </c>
      <c r="E604" s="3" t="s">
        <v>1523</v>
      </c>
      <c r="F604" t="e">
        <f>_xlfn.XLOOKUP(A604,[1]邦达数据库!$A:$A,[1]邦达数据库!$C:$C)</f>
        <v>#N/A</v>
      </c>
    </row>
    <row r="605" ht="30" customHeight="1" spans="1:6">
      <c r="A605" s="4" t="s">
        <v>1524</v>
      </c>
      <c r="B605" s="5" t="s">
        <v>1483</v>
      </c>
      <c r="C605" s="5" t="s">
        <v>699</v>
      </c>
      <c r="D605" s="5" t="s">
        <v>1525</v>
      </c>
      <c r="E605" s="5" t="s">
        <v>1526</v>
      </c>
      <c r="F605" t="e">
        <f>_xlfn.XLOOKUP(A605,[1]邦达数据库!$A:$A,[1]邦达数据库!$C:$C)</f>
        <v>#N/A</v>
      </c>
    </row>
    <row r="606" ht="30" customHeight="1" spans="1:6">
      <c r="A606" s="2" t="s">
        <v>1527</v>
      </c>
      <c r="B606" s="3" t="s">
        <v>1483</v>
      </c>
      <c r="C606" s="3" t="s">
        <v>699</v>
      </c>
      <c r="D606" s="3" t="s">
        <v>1528</v>
      </c>
      <c r="E606" s="3" t="s">
        <v>1529</v>
      </c>
      <c r="F606" t="e">
        <f>_xlfn.XLOOKUP(A606,[1]邦达数据库!$A:$A,[1]邦达数据库!$C:$C)</f>
        <v>#N/A</v>
      </c>
    </row>
    <row r="607" ht="30" customHeight="1" spans="1:6">
      <c r="A607" s="4" t="s">
        <v>1530</v>
      </c>
      <c r="B607" s="5" t="s">
        <v>1483</v>
      </c>
      <c r="C607" s="5" t="s">
        <v>699</v>
      </c>
      <c r="D607" s="5" t="s">
        <v>1512</v>
      </c>
      <c r="E607" s="5" t="s">
        <v>1513</v>
      </c>
      <c r="F607" t="e">
        <f>_xlfn.XLOOKUP(A607,[1]邦达数据库!$A:$A,[1]邦达数据库!$C:$C)</f>
        <v>#N/A</v>
      </c>
    </row>
    <row r="608" ht="30" customHeight="1" spans="1:6">
      <c r="A608" s="2" t="s">
        <v>1531</v>
      </c>
      <c r="B608" s="3" t="s">
        <v>1483</v>
      </c>
      <c r="C608" s="3" t="s">
        <v>699</v>
      </c>
      <c r="D608" s="3" t="s">
        <v>1512</v>
      </c>
      <c r="E608" s="3" t="s">
        <v>1513</v>
      </c>
      <c r="F608" t="e">
        <f>_xlfn.XLOOKUP(A608,[1]邦达数据库!$A:$A,[1]邦达数据库!$C:$C)</f>
        <v>#N/A</v>
      </c>
    </row>
    <row r="609" ht="30" customHeight="1" spans="1:6">
      <c r="A609" s="4" t="s">
        <v>1532</v>
      </c>
      <c r="B609" s="5" t="s">
        <v>259</v>
      </c>
      <c r="C609" s="5" t="s">
        <v>265</v>
      </c>
      <c r="D609" s="5" t="s">
        <v>1533</v>
      </c>
      <c r="E609" s="5" t="s">
        <v>1534</v>
      </c>
      <c r="F609" t="e">
        <f>_xlfn.XLOOKUP(A609,[1]邦达数据库!$A:$A,[1]邦达数据库!$C:$C)</f>
        <v>#N/A</v>
      </c>
    </row>
    <row r="610" ht="30" customHeight="1" spans="1:6">
      <c r="A610" s="2" t="s">
        <v>1535</v>
      </c>
      <c r="B610" s="3" t="s">
        <v>259</v>
      </c>
      <c r="C610" s="3" t="s">
        <v>265</v>
      </c>
      <c r="D610" s="3" t="s">
        <v>260</v>
      </c>
      <c r="E610" s="3" t="s">
        <v>261</v>
      </c>
      <c r="F610" t="e">
        <f>_xlfn.XLOOKUP(A610,[1]邦达数据库!$A:$A,[1]邦达数据库!$C:$C)</f>
        <v>#N/A</v>
      </c>
    </row>
    <row r="611" ht="30" customHeight="1" spans="1:6">
      <c r="A611" s="4" t="s">
        <v>1536</v>
      </c>
      <c r="B611" s="5" t="s">
        <v>259</v>
      </c>
      <c r="C611" s="5" t="s">
        <v>265</v>
      </c>
      <c r="D611" s="5" t="s">
        <v>1537</v>
      </c>
      <c r="E611" s="5" t="s">
        <v>1538</v>
      </c>
      <c r="F611" t="e">
        <f>_xlfn.XLOOKUP(A611,[1]邦达数据库!$A:$A,[1]邦达数据库!$C:$C)</f>
        <v>#N/A</v>
      </c>
    </row>
    <row r="612" ht="30" customHeight="1" spans="1:6">
      <c r="A612" s="2" t="s">
        <v>1539</v>
      </c>
      <c r="B612" s="3" t="s">
        <v>259</v>
      </c>
      <c r="C612" s="3" t="s">
        <v>265</v>
      </c>
      <c r="D612" s="3" t="s">
        <v>260</v>
      </c>
      <c r="E612" s="3" t="s">
        <v>261</v>
      </c>
      <c r="F612" t="e">
        <f>_xlfn.XLOOKUP(A612,[1]邦达数据库!$A:$A,[1]邦达数据库!$C:$C)</f>
        <v>#N/A</v>
      </c>
    </row>
    <row r="613" ht="30" customHeight="1" spans="1:6">
      <c r="A613" s="4" t="s">
        <v>1540</v>
      </c>
      <c r="B613" s="5" t="s">
        <v>1541</v>
      </c>
      <c r="C613" s="5" t="s">
        <v>725</v>
      </c>
      <c r="D613" s="5" t="s">
        <v>1542</v>
      </c>
      <c r="E613" s="5" t="s">
        <v>1543</v>
      </c>
      <c r="F613" t="e">
        <f>_xlfn.XLOOKUP(A613,[1]邦达数据库!$A:$A,[1]邦达数据库!$C:$C)</f>
        <v>#N/A</v>
      </c>
    </row>
    <row r="614" ht="30" customHeight="1" spans="1:6">
      <c r="A614" s="2" t="s">
        <v>1544</v>
      </c>
      <c r="B614" s="3" t="s">
        <v>1541</v>
      </c>
      <c r="C614" s="3" t="s">
        <v>725</v>
      </c>
      <c r="D614" s="3" t="s">
        <v>1545</v>
      </c>
      <c r="E614" s="3" t="s">
        <v>1546</v>
      </c>
      <c r="F614" t="e">
        <f>_xlfn.XLOOKUP(A614,[1]邦达数据库!$A:$A,[1]邦达数据库!$C:$C)</f>
        <v>#N/A</v>
      </c>
    </row>
    <row r="615" ht="30" customHeight="1" spans="1:6">
      <c r="A615" s="4" t="s">
        <v>1547</v>
      </c>
      <c r="B615" s="5" t="s">
        <v>1548</v>
      </c>
      <c r="C615" s="5" t="s">
        <v>265</v>
      </c>
      <c r="D615" s="5" t="s">
        <v>1549</v>
      </c>
      <c r="E615" s="5" t="s">
        <v>1550</v>
      </c>
      <c r="F615" t="e">
        <f>_xlfn.XLOOKUP(A615,[1]邦达数据库!$A:$A,[1]邦达数据库!$C:$C)</f>
        <v>#N/A</v>
      </c>
    </row>
    <row r="616" ht="30" customHeight="1" spans="1:6">
      <c r="A616" s="4" t="s">
        <v>1551</v>
      </c>
      <c r="B616" s="5" t="s">
        <v>1552</v>
      </c>
      <c r="C616" s="5" t="s">
        <v>63</v>
      </c>
      <c r="D616" s="5" t="s">
        <v>1553</v>
      </c>
      <c r="E616" s="5" t="s">
        <v>1554</v>
      </c>
      <c r="F616" t="e">
        <f>_xlfn.XLOOKUP(A616,[1]邦达数据库!$A:$A,[1]邦达数据库!$C:$C)</f>
        <v>#N/A</v>
      </c>
    </row>
    <row r="617" ht="30" customHeight="1" spans="1:6">
      <c r="A617" s="2" t="s">
        <v>1555</v>
      </c>
      <c r="B617" s="3" t="s">
        <v>1556</v>
      </c>
      <c r="C617" s="3" t="s">
        <v>270</v>
      </c>
      <c r="D617" s="3" t="s">
        <v>524</v>
      </c>
      <c r="E617" s="3" t="s">
        <v>525</v>
      </c>
      <c r="F617" t="str">
        <f>_xlfn.XLOOKUP(A617,[1]邦达数据库!$A:$A,[1]邦达数据库!$C:$C)</f>
        <v>8425.49.0000</v>
      </c>
    </row>
    <row r="618" ht="30" customHeight="1" spans="1:6">
      <c r="A618" s="4" t="s">
        <v>1557</v>
      </c>
      <c r="B618" s="5" t="s">
        <v>1558</v>
      </c>
      <c r="C618" s="5" t="s">
        <v>63</v>
      </c>
      <c r="D618" s="5" t="s">
        <v>9</v>
      </c>
      <c r="E618" s="5" t="s">
        <v>10</v>
      </c>
      <c r="F618" t="e">
        <f>_xlfn.XLOOKUP(A618,[1]邦达数据库!$A:$A,[1]邦达数据库!$C:$C)</f>
        <v>#N/A</v>
      </c>
    </row>
    <row r="619" ht="30" customHeight="1" spans="1:6">
      <c r="A619" s="2" t="s">
        <v>1559</v>
      </c>
      <c r="B619" s="3" t="s">
        <v>1560</v>
      </c>
      <c r="C619" s="3" t="s">
        <v>1561</v>
      </c>
      <c r="D619" s="3" t="s">
        <v>1028</v>
      </c>
      <c r="E619" s="3" t="s">
        <v>1029</v>
      </c>
      <c r="F619" t="e">
        <f>_xlfn.XLOOKUP(A619,[1]邦达数据库!$A:$A,[1]邦达数据库!$C:$C)</f>
        <v>#N/A</v>
      </c>
    </row>
    <row r="620" ht="30" customHeight="1" spans="1:6">
      <c r="A620" s="4" t="s">
        <v>1562</v>
      </c>
      <c r="B620" s="5" t="s">
        <v>1560</v>
      </c>
      <c r="C620" s="5" t="s">
        <v>1561</v>
      </c>
      <c r="D620" s="5" t="s">
        <v>1563</v>
      </c>
      <c r="E620" s="5" t="s">
        <v>1564</v>
      </c>
      <c r="F620" t="e">
        <f>_xlfn.XLOOKUP(A620,[1]邦达数据库!$A:$A,[1]邦达数据库!$C:$C)</f>
        <v>#N/A</v>
      </c>
    </row>
    <row r="621" ht="30" customHeight="1" spans="1:6">
      <c r="A621" s="2" t="s">
        <v>1565</v>
      </c>
      <c r="B621" s="3" t="s">
        <v>1560</v>
      </c>
      <c r="C621" s="3" t="s">
        <v>1561</v>
      </c>
      <c r="D621" s="3" t="s">
        <v>1028</v>
      </c>
      <c r="E621" s="3" t="s">
        <v>1029</v>
      </c>
      <c r="F621" t="e">
        <f>_xlfn.XLOOKUP(A621,[1]邦达数据库!$A:$A,[1]邦达数据库!$C:$C)</f>
        <v>#N/A</v>
      </c>
    </row>
    <row r="622" ht="30" customHeight="1" spans="1:6">
      <c r="A622" s="4" t="s">
        <v>1566</v>
      </c>
      <c r="B622" s="5" t="s">
        <v>1497</v>
      </c>
      <c r="C622" s="5" t="s">
        <v>335</v>
      </c>
      <c r="D622" s="5" t="s">
        <v>1567</v>
      </c>
      <c r="E622" s="5" t="s">
        <v>1568</v>
      </c>
      <c r="F622" t="e">
        <f>_xlfn.XLOOKUP(A622,[1]邦达数据库!$A:$A,[1]邦达数据库!$C:$C)</f>
        <v>#N/A</v>
      </c>
    </row>
    <row r="623" ht="30" customHeight="1" spans="1:6">
      <c r="A623" s="2" t="s">
        <v>1569</v>
      </c>
      <c r="B623" s="3" t="s">
        <v>1497</v>
      </c>
      <c r="C623" s="3" t="s">
        <v>1570</v>
      </c>
      <c r="D623" s="3" t="s">
        <v>280</v>
      </c>
      <c r="E623" s="3" t="s">
        <v>281</v>
      </c>
      <c r="F623" t="e">
        <f>_xlfn.XLOOKUP(A623,[1]邦达数据库!$A:$A,[1]邦达数据库!$C:$C)</f>
        <v>#N/A</v>
      </c>
    </row>
    <row r="624" ht="30" customHeight="1" spans="1:6">
      <c r="A624" s="4" t="s">
        <v>1571</v>
      </c>
      <c r="B624" s="5" t="s">
        <v>1497</v>
      </c>
      <c r="C624" s="5" t="s">
        <v>335</v>
      </c>
      <c r="D624" s="5" t="s">
        <v>400</v>
      </c>
      <c r="E624" s="5" t="s">
        <v>401</v>
      </c>
      <c r="F624" t="e">
        <f>_xlfn.XLOOKUP(A624,[1]邦达数据库!$A:$A,[1]邦达数据库!$C:$C)</f>
        <v>#N/A</v>
      </c>
    </row>
    <row r="625" ht="30" customHeight="1" spans="1:6">
      <c r="A625" s="2" t="s">
        <v>1572</v>
      </c>
      <c r="B625" s="3" t="s">
        <v>1573</v>
      </c>
      <c r="C625" s="3" t="s">
        <v>335</v>
      </c>
      <c r="D625" s="3" t="s">
        <v>1574</v>
      </c>
      <c r="E625" s="3" t="s">
        <v>1575</v>
      </c>
      <c r="F625" t="e">
        <f>_xlfn.XLOOKUP(A625,[1]邦达数据库!$A:$A,[1]邦达数据库!$C:$C)</f>
        <v>#N/A</v>
      </c>
    </row>
    <row r="626" ht="30" customHeight="1" spans="1:6">
      <c r="A626" s="4" t="s">
        <v>1576</v>
      </c>
      <c r="B626" s="5" t="s">
        <v>1577</v>
      </c>
      <c r="C626" s="5" t="s">
        <v>1578</v>
      </c>
      <c r="D626" s="5" t="s">
        <v>582</v>
      </c>
      <c r="E626" s="5" t="s">
        <v>583</v>
      </c>
      <c r="F626" t="e">
        <f>_xlfn.XLOOKUP(A626,[1]邦达数据库!$A:$A,[1]邦达数据库!$C:$C)</f>
        <v>#N/A</v>
      </c>
    </row>
    <row r="627" ht="30" customHeight="1" spans="1:6">
      <c r="A627" s="2" t="s">
        <v>1579</v>
      </c>
      <c r="B627" s="3" t="s">
        <v>1580</v>
      </c>
      <c r="C627" s="3" t="s">
        <v>1578</v>
      </c>
      <c r="D627" s="3" t="s">
        <v>582</v>
      </c>
      <c r="E627" s="3" t="s">
        <v>583</v>
      </c>
      <c r="F627" t="e">
        <f>_xlfn.XLOOKUP(A627,[1]邦达数据库!$A:$A,[1]邦达数据库!$C:$C)</f>
        <v>#N/A</v>
      </c>
    </row>
    <row r="628" ht="30" customHeight="1" spans="1:6">
      <c r="A628" s="4" t="s">
        <v>1581</v>
      </c>
      <c r="B628" s="5" t="s">
        <v>1582</v>
      </c>
      <c r="C628" s="5" t="s">
        <v>42</v>
      </c>
      <c r="D628" s="5" t="s">
        <v>1244</v>
      </c>
      <c r="E628" s="5" t="s">
        <v>1245</v>
      </c>
      <c r="F628" t="e">
        <f>_xlfn.XLOOKUP(A628,[1]邦达数据库!$A:$A,[1]邦达数据库!$C:$C)</f>
        <v>#N/A</v>
      </c>
    </row>
    <row r="629" ht="30" customHeight="1" spans="1:6">
      <c r="A629" s="2" t="s">
        <v>1583</v>
      </c>
      <c r="B629" s="3" t="s">
        <v>1582</v>
      </c>
      <c r="C629" s="3" t="s">
        <v>42</v>
      </c>
      <c r="D629" s="3" t="s">
        <v>1244</v>
      </c>
      <c r="E629" s="3" t="s">
        <v>1245</v>
      </c>
      <c r="F629" t="e">
        <f>_xlfn.XLOOKUP(A629,[1]邦达数据库!$A:$A,[1]邦达数据库!$C:$C)</f>
        <v>#N/A</v>
      </c>
    </row>
    <row r="630" ht="30" customHeight="1" spans="1:6">
      <c r="A630" s="4" t="s">
        <v>1584</v>
      </c>
      <c r="B630" s="5" t="s">
        <v>1585</v>
      </c>
      <c r="C630" s="5" t="s">
        <v>1586</v>
      </c>
      <c r="D630" s="5" t="s">
        <v>621</v>
      </c>
      <c r="E630" s="5" t="s">
        <v>622</v>
      </c>
      <c r="F630" t="e">
        <f>_xlfn.XLOOKUP(A630,[1]邦达数据库!$A:$A,[1]邦达数据库!$C:$C)</f>
        <v>#N/A</v>
      </c>
    </row>
    <row r="631" ht="30" customHeight="1" spans="1:6">
      <c r="A631" s="2" t="s">
        <v>1587</v>
      </c>
      <c r="B631" s="3" t="s">
        <v>1585</v>
      </c>
      <c r="C631" s="3" t="s">
        <v>1447</v>
      </c>
      <c r="D631" s="3" t="s">
        <v>1588</v>
      </c>
      <c r="E631" s="3" t="s">
        <v>1589</v>
      </c>
      <c r="F631" t="e">
        <f>_xlfn.XLOOKUP(A631,[1]邦达数据库!$A:$A,[1]邦达数据库!$C:$C)</f>
        <v>#N/A</v>
      </c>
    </row>
    <row r="632" ht="30" customHeight="1" spans="1:6">
      <c r="A632" s="4" t="s">
        <v>1590</v>
      </c>
      <c r="B632" s="5" t="s">
        <v>1591</v>
      </c>
      <c r="C632" s="5" t="s">
        <v>1447</v>
      </c>
      <c r="D632" s="5" t="s">
        <v>621</v>
      </c>
      <c r="E632" s="5" t="s">
        <v>622</v>
      </c>
      <c r="F632" t="e">
        <f>_xlfn.XLOOKUP(A632,[1]邦达数据库!$A:$A,[1]邦达数据库!$C:$C)</f>
        <v>#N/A</v>
      </c>
    </row>
    <row r="633" ht="30" customHeight="1" spans="1:6">
      <c r="A633" s="2" t="s">
        <v>1592</v>
      </c>
      <c r="B633" s="3" t="s">
        <v>1585</v>
      </c>
      <c r="C633" s="3" t="s">
        <v>1447</v>
      </c>
      <c r="D633" s="3" t="s">
        <v>621</v>
      </c>
      <c r="E633" s="3" t="s">
        <v>622</v>
      </c>
      <c r="F633" t="e">
        <f>_xlfn.XLOOKUP(A633,[1]邦达数据库!$A:$A,[1]邦达数据库!$C:$C)</f>
        <v>#N/A</v>
      </c>
    </row>
    <row r="634" ht="30" customHeight="1" spans="1:6">
      <c r="A634" s="4" t="s">
        <v>1593</v>
      </c>
      <c r="B634" s="5" t="s">
        <v>1585</v>
      </c>
      <c r="C634" s="5" t="s">
        <v>1447</v>
      </c>
      <c r="D634" s="5" t="s">
        <v>1588</v>
      </c>
      <c r="E634" s="5" t="s">
        <v>1589</v>
      </c>
      <c r="F634" t="e">
        <f>_xlfn.XLOOKUP(A634,[1]邦达数据库!$A:$A,[1]邦达数据库!$C:$C)</f>
        <v>#N/A</v>
      </c>
    </row>
    <row r="635" ht="30" customHeight="1" spans="1:6">
      <c r="A635" s="2" t="s">
        <v>1594</v>
      </c>
      <c r="B635" s="3" t="s">
        <v>1585</v>
      </c>
      <c r="C635" s="3" t="s">
        <v>1447</v>
      </c>
      <c r="D635" s="3" t="s">
        <v>621</v>
      </c>
      <c r="E635" s="3" t="s">
        <v>622</v>
      </c>
      <c r="F635" t="e">
        <f>_xlfn.XLOOKUP(A635,[1]邦达数据库!$A:$A,[1]邦达数据库!$C:$C)</f>
        <v>#N/A</v>
      </c>
    </row>
    <row r="636" ht="30" customHeight="1" spans="1:6">
      <c r="A636" s="4" t="s">
        <v>1595</v>
      </c>
      <c r="B636" s="5" t="s">
        <v>1596</v>
      </c>
      <c r="C636" s="5" t="s">
        <v>1597</v>
      </c>
      <c r="D636" s="5" t="s">
        <v>73</v>
      </c>
      <c r="E636" s="5" t="s">
        <v>74</v>
      </c>
      <c r="F636" t="e">
        <f>_xlfn.XLOOKUP(A636,[1]邦达数据库!$A:$A,[1]邦达数据库!$C:$C)</f>
        <v>#N/A</v>
      </c>
    </row>
    <row r="637" ht="30" customHeight="1" spans="1:6">
      <c r="A637" s="2" t="s">
        <v>1598</v>
      </c>
      <c r="B637" s="3" t="s">
        <v>1599</v>
      </c>
      <c r="C637" s="3" t="s">
        <v>335</v>
      </c>
      <c r="D637" s="3" t="s">
        <v>149</v>
      </c>
      <c r="E637" s="3" t="s">
        <v>150</v>
      </c>
      <c r="F637" t="e">
        <f>_xlfn.XLOOKUP(A637,[1]邦达数据库!$A:$A,[1]邦达数据库!$C:$C)</f>
        <v>#N/A</v>
      </c>
    </row>
    <row r="638" ht="30" customHeight="1" spans="1:6">
      <c r="A638" s="4" t="s">
        <v>1600</v>
      </c>
      <c r="B638" s="5" t="s">
        <v>1599</v>
      </c>
      <c r="C638" s="5" t="s">
        <v>335</v>
      </c>
      <c r="D638" s="5" t="s">
        <v>149</v>
      </c>
      <c r="E638" s="5" t="s">
        <v>150</v>
      </c>
      <c r="F638" t="e">
        <f>_xlfn.XLOOKUP(A638,[1]邦达数据库!$A:$A,[1]邦达数据库!$C:$C)</f>
        <v>#N/A</v>
      </c>
    </row>
    <row r="639" ht="30" customHeight="1" spans="1:6">
      <c r="A639" s="2" t="s">
        <v>1601</v>
      </c>
      <c r="B639" s="3" t="s">
        <v>1602</v>
      </c>
      <c r="C639" s="3" t="s">
        <v>335</v>
      </c>
      <c r="D639" s="3" t="s">
        <v>1603</v>
      </c>
      <c r="E639" s="3" t="s">
        <v>1604</v>
      </c>
      <c r="F639" t="e">
        <f>_xlfn.XLOOKUP(A639,[1]邦达数据库!$A:$A,[1]邦达数据库!$C:$C)</f>
        <v>#N/A</v>
      </c>
    </row>
    <row r="640" ht="30" customHeight="1" spans="1:6">
      <c r="A640" s="2" t="s">
        <v>1605</v>
      </c>
      <c r="B640" s="3" t="s">
        <v>601</v>
      </c>
      <c r="C640" s="3" t="s">
        <v>395</v>
      </c>
      <c r="D640" s="3" t="s">
        <v>223</v>
      </c>
      <c r="E640" s="3" t="s">
        <v>224</v>
      </c>
      <c r="F640" t="e">
        <f>_xlfn.XLOOKUP(A640,[1]邦达数据库!$A:$A,[1]邦达数据库!$C:$C)</f>
        <v>#N/A</v>
      </c>
    </row>
    <row r="641" ht="30" customHeight="1" spans="1:6">
      <c r="A641" s="4" t="s">
        <v>1606</v>
      </c>
      <c r="B641" s="5" t="s">
        <v>601</v>
      </c>
      <c r="C641" s="5" t="s">
        <v>395</v>
      </c>
      <c r="D641" s="5" t="s">
        <v>223</v>
      </c>
      <c r="E641" s="5" t="s">
        <v>224</v>
      </c>
      <c r="F641" t="e">
        <f>_xlfn.XLOOKUP(A641,[1]邦达数据库!$A:$A,[1]邦达数据库!$C:$C)</f>
        <v>#N/A</v>
      </c>
    </row>
    <row r="642" ht="30" customHeight="1" spans="1:6">
      <c r="A642" s="2" t="s">
        <v>1607</v>
      </c>
      <c r="B642" s="3" t="s">
        <v>1608</v>
      </c>
      <c r="C642" s="3" t="s">
        <v>1609</v>
      </c>
      <c r="D642" s="3" t="s">
        <v>776</v>
      </c>
      <c r="E642" s="3" t="s">
        <v>777</v>
      </c>
      <c r="F642" t="e">
        <f>_xlfn.XLOOKUP(A642,[1]邦达数据库!$A:$A,[1]邦达数据库!$C:$C)</f>
        <v>#N/A</v>
      </c>
    </row>
    <row r="643" ht="30" customHeight="1" spans="1:6">
      <c r="A643" s="4" t="s">
        <v>1610</v>
      </c>
      <c r="B643" s="5" t="s">
        <v>1611</v>
      </c>
      <c r="C643" s="5" t="s">
        <v>335</v>
      </c>
      <c r="D643" s="5" t="s">
        <v>170</v>
      </c>
      <c r="E643" s="5" t="s">
        <v>171</v>
      </c>
      <c r="F643" t="e">
        <f>_xlfn.XLOOKUP(A643,[1]邦达数据库!$A:$A,[1]邦达数据库!$C:$C)</f>
        <v>#N/A</v>
      </c>
    </row>
    <row r="644" ht="30" customHeight="1" spans="1:6">
      <c r="A644" s="2" t="s">
        <v>1612</v>
      </c>
      <c r="B644" s="3" t="s">
        <v>1548</v>
      </c>
      <c r="C644" s="3" t="s">
        <v>1027</v>
      </c>
      <c r="D644" s="3" t="s">
        <v>618</v>
      </c>
      <c r="E644" s="3" t="s">
        <v>619</v>
      </c>
      <c r="F644" t="e">
        <f>_xlfn.XLOOKUP(A644,[1]邦达数据库!$A:$A,[1]邦达数据库!$C:$C)</f>
        <v>#N/A</v>
      </c>
    </row>
    <row r="645" ht="30" customHeight="1" spans="1:6">
      <c r="A645" s="4" t="s">
        <v>1613</v>
      </c>
      <c r="B645" s="5" t="s">
        <v>1614</v>
      </c>
      <c r="C645" s="5" t="s">
        <v>300</v>
      </c>
      <c r="D645" s="5" t="s">
        <v>1104</v>
      </c>
      <c r="E645" s="5" t="s">
        <v>1105</v>
      </c>
      <c r="F645" t="e">
        <f>_xlfn.XLOOKUP(A645,[1]邦达数据库!$A:$A,[1]邦达数据库!$C:$C)</f>
        <v>#N/A</v>
      </c>
    </row>
    <row r="646" ht="30" customHeight="1" spans="1:6">
      <c r="A646" s="2" t="s">
        <v>1615</v>
      </c>
      <c r="B646" s="3" t="s">
        <v>1614</v>
      </c>
      <c r="C646" s="3" t="s">
        <v>300</v>
      </c>
      <c r="D646" s="3" t="s">
        <v>1239</v>
      </c>
      <c r="E646" s="3" t="s">
        <v>1240</v>
      </c>
      <c r="F646" t="e">
        <f>_xlfn.XLOOKUP(A646,[1]邦达数据库!$A:$A,[1]邦达数据库!$C:$C)</f>
        <v>#N/A</v>
      </c>
    </row>
    <row r="647" ht="30" customHeight="1" spans="1:6">
      <c r="A647" s="4" t="s">
        <v>1616</v>
      </c>
      <c r="B647" s="5" t="s">
        <v>1614</v>
      </c>
      <c r="C647" s="5" t="s">
        <v>300</v>
      </c>
      <c r="D647" s="5" t="s">
        <v>1617</v>
      </c>
      <c r="E647" s="5" t="s">
        <v>1618</v>
      </c>
      <c r="F647" t="e">
        <f>_xlfn.XLOOKUP(A647,[1]邦达数据库!$A:$A,[1]邦达数据库!$C:$C)</f>
        <v>#N/A</v>
      </c>
    </row>
    <row r="648" ht="30" customHeight="1" spans="1:6">
      <c r="A648" s="2" t="s">
        <v>1619</v>
      </c>
      <c r="B648" s="3" t="s">
        <v>1620</v>
      </c>
      <c r="C648" s="3" t="s">
        <v>335</v>
      </c>
      <c r="D648" s="3" t="s">
        <v>124</v>
      </c>
      <c r="E648" s="3" t="s">
        <v>125</v>
      </c>
      <c r="F648" t="e">
        <f>_xlfn.XLOOKUP(A648,[1]邦达数据库!$A:$A,[1]邦达数据库!$C:$C)</f>
        <v>#N/A</v>
      </c>
    </row>
    <row r="649" ht="30" customHeight="1" spans="1:6">
      <c r="A649" s="4" t="s">
        <v>1621</v>
      </c>
      <c r="B649" s="5" t="s">
        <v>1585</v>
      </c>
      <c r="C649" s="5" t="s">
        <v>1447</v>
      </c>
      <c r="D649" s="5" t="s">
        <v>1588</v>
      </c>
      <c r="E649" s="5" t="s">
        <v>1589</v>
      </c>
      <c r="F649" t="e">
        <f>_xlfn.XLOOKUP(A649,[1]邦达数据库!$A:$A,[1]邦达数据库!$C:$C)</f>
        <v>#N/A</v>
      </c>
    </row>
    <row r="650" ht="30" customHeight="1" spans="1:6">
      <c r="A650" s="2" t="s">
        <v>1622</v>
      </c>
      <c r="B650" s="3" t="s">
        <v>1623</v>
      </c>
      <c r="C650" s="3" t="s">
        <v>1624</v>
      </c>
      <c r="D650" s="3" t="s">
        <v>1625</v>
      </c>
      <c r="E650" s="3" t="s">
        <v>1626</v>
      </c>
      <c r="F650" t="e">
        <f>_xlfn.XLOOKUP(A650,[1]邦达数据库!$A:$A,[1]邦达数据库!$C:$C)</f>
        <v>#N/A</v>
      </c>
    </row>
    <row r="651" ht="30" customHeight="1" spans="1:6">
      <c r="A651" s="4" t="s">
        <v>1627</v>
      </c>
      <c r="B651" s="5" t="s">
        <v>1628</v>
      </c>
      <c r="C651" s="5" t="s">
        <v>1447</v>
      </c>
      <c r="D651" s="5" t="s">
        <v>223</v>
      </c>
      <c r="E651" s="5" t="s">
        <v>224</v>
      </c>
      <c r="F651" t="e">
        <f>_xlfn.XLOOKUP(A651,[1]邦达数据库!$A:$A,[1]邦达数据库!$C:$C)</f>
        <v>#N/A</v>
      </c>
    </row>
    <row r="652" ht="30" customHeight="1" spans="1:6">
      <c r="A652" s="2" t="s">
        <v>1629</v>
      </c>
      <c r="B652" s="3" t="s">
        <v>1630</v>
      </c>
      <c r="C652" s="3" t="s">
        <v>1631</v>
      </c>
      <c r="D652" s="3" t="s">
        <v>64</v>
      </c>
      <c r="E652" s="3" t="s">
        <v>65</v>
      </c>
      <c r="F652" t="e">
        <f>_xlfn.XLOOKUP(A652,[1]邦达数据库!$A:$A,[1]邦达数据库!$C:$C)</f>
        <v>#N/A</v>
      </c>
    </row>
    <row r="653" ht="30" customHeight="1" spans="1:6">
      <c r="A653" s="4" t="s">
        <v>1632</v>
      </c>
      <c r="B653" s="5" t="s">
        <v>1633</v>
      </c>
      <c r="C653" s="5" t="s">
        <v>270</v>
      </c>
      <c r="D653" s="5" t="s">
        <v>524</v>
      </c>
      <c r="E653" s="5" t="s">
        <v>525</v>
      </c>
      <c r="F653" t="str">
        <f>_xlfn.XLOOKUP(A653,[1]邦达数据库!$A:$A,[1]邦达数据库!$C:$C)</f>
        <v>8425.42.0000</v>
      </c>
    </row>
    <row r="654" ht="30" customHeight="1" spans="1:6">
      <c r="A654" s="2" t="s">
        <v>1634</v>
      </c>
      <c r="B654" s="3" t="s">
        <v>1635</v>
      </c>
      <c r="C654" s="3" t="s">
        <v>270</v>
      </c>
      <c r="D654" s="3" t="s">
        <v>524</v>
      </c>
      <c r="E654" s="3" t="s">
        <v>525</v>
      </c>
      <c r="F654" t="str">
        <f>_xlfn.XLOOKUP(A654,[1]邦达数据库!$A:$A,[1]邦达数据库!$C:$C)</f>
        <v>8425.42.0000</v>
      </c>
    </row>
    <row r="655" ht="30" customHeight="1" spans="1:6">
      <c r="A655" s="4" t="s">
        <v>1636</v>
      </c>
      <c r="B655" s="5" t="s">
        <v>1635</v>
      </c>
      <c r="C655" s="5" t="s">
        <v>270</v>
      </c>
      <c r="D655" s="5" t="s">
        <v>524</v>
      </c>
      <c r="E655" s="5" t="s">
        <v>525</v>
      </c>
      <c r="F655" t="str">
        <f>_xlfn.XLOOKUP(A655,[1]邦达数据库!$A:$A,[1]邦达数据库!$C:$C)</f>
        <v>8425.42.0000</v>
      </c>
    </row>
    <row r="656" ht="30" customHeight="1" spans="1:6">
      <c r="A656" s="2" t="s">
        <v>1637</v>
      </c>
      <c r="B656" s="3" t="s">
        <v>1281</v>
      </c>
      <c r="C656" s="3" t="s">
        <v>443</v>
      </c>
      <c r="D656" s="3" t="s">
        <v>568</v>
      </c>
      <c r="E656" s="3" t="s">
        <v>569</v>
      </c>
      <c r="F656" t="e">
        <f>_xlfn.XLOOKUP(A656,[1]邦达数据库!$A:$A,[1]邦达数据库!$C:$C)</f>
        <v>#N/A</v>
      </c>
    </row>
    <row r="657" ht="30" customHeight="1" spans="1:6">
      <c r="A657" s="4" t="s">
        <v>1638</v>
      </c>
      <c r="B657" s="5" t="s">
        <v>1639</v>
      </c>
      <c r="C657" s="5" t="s">
        <v>443</v>
      </c>
      <c r="D657" s="5" t="s">
        <v>1640</v>
      </c>
      <c r="E657" s="5" t="s">
        <v>1641</v>
      </c>
      <c r="F657" t="e">
        <f>_xlfn.XLOOKUP(A657,[1]邦达数据库!$A:$A,[1]邦达数据库!$C:$C)</f>
        <v>#N/A</v>
      </c>
    </row>
    <row r="658" ht="30" customHeight="1" spans="1:6">
      <c r="A658" s="2" t="s">
        <v>1642</v>
      </c>
      <c r="B658" s="3" t="s">
        <v>1643</v>
      </c>
      <c r="C658" s="3" t="s">
        <v>1644</v>
      </c>
      <c r="D658" s="3" t="s">
        <v>319</v>
      </c>
      <c r="E658" s="3" t="s">
        <v>320</v>
      </c>
      <c r="F658" t="e">
        <f>_xlfn.XLOOKUP(A658,[1]邦达数据库!$A:$A,[1]邦达数据库!$C:$C)</f>
        <v>#N/A</v>
      </c>
    </row>
    <row r="659" ht="30" customHeight="1" spans="1:6">
      <c r="A659" s="4" t="s">
        <v>1645</v>
      </c>
      <c r="B659" s="5" t="s">
        <v>288</v>
      </c>
      <c r="C659" s="5" t="s">
        <v>221</v>
      </c>
      <c r="D659" s="5" t="s">
        <v>1646</v>
      </c>
      <c r="E659" s="5" t="s">
        <v>1647</v>
      </c>
      <c r="F659" t="e">
        <f>_xlfn.XLOOKUP(A659,[1]邦达数据库!$A:$A,[1]邦达数据库!$C:$C)</f>
        <v>#N/A</v>
      </c>
    </row>
    <row r="660" ht="30" customHeight="1" spans="1:6">
      <c r="A660" s="4" t="s">
        <v>1648</v>
      </c>
      <c r="B660" s="5" t="s">
        <v>1649</v>
      </c>
      <c r="C660" s="5" t="s">
        <v>725</v>
      </c>
      <c r="D660" s="5" t="s">
        <v>1650</v>
      </c>
      <c r="E660" s="5" t="s">
        <v>1651</v>
      </c>
      <c r="F660" t="e">
        <f>_xlfn.XLOOKUP(A660,[1]邦达数据库!$A:$A,[1]邦达数据库!$C:$C)</f>
        <v>#N/A</v>
      </c>
    </row>
    <row r="661" ht="30" customHeight="1" spans="1:6">
      <c r="A661" s="2" t="s">
        <v>1652</v>
      </c>
      <c r="B661" s="3" t="s">
        <v>1649</v>
      </c>
      <c r="C661" s="3" t="s">
        <v>725</v>
      </c>
      <c r="D661" s="3" t="s">
        <v>794</v>
      </c>
      <c r="E661" s="3" t="s">
        <v>795</v>
      </c>
      <c r="F661" t="e">
        <f>_xlfn.XLOOKUP(A661,[1]邦达数据库!$A:$A,[1]邦达数据库!$C:$C)</f>
        <v>#N/A</v>
      </c>
    </row>
    <row r="662" ht="30" customHeight="1" spans="1:6">
      <c r="A662" s="4" t="s">
        <v>1653</v>
      </c>
      <c r="B662" s="5" t="s">
        <v>731</v>
      </c>
      <c r="C662" s="5" t="s">
        <v>1447</v>
      </c>
      <c r="D662" s="5" t="s">
        <v>404</v>
      </c>
      <c r="E662" s="5" t="s">
        <v>405</v>
      </c>
      <c r="F662" t="str">
        <f>_xlfn.XLOOKUP(A662,[1]邦达数据库!$A:$A,[1]邦达数据库!$C:$C)</f>
        <v>8443.39.0000</v>
      </c>
    </row>
    <row r="663" ht="30" customHeight="1" spans="1:6">
      <c r="A663" s="2" t="s">
        <v>1654</v>
      </c>
      <c r="B663" s="3" t="s">
        <v>731</v>
      </c>
      <c r="C663" s="3" t="s">
        <v>1447</v>
      </c>
      <c r="D663" s="3" t="s">
        <v>1655</v>
      </c>
      <c r="E663" s="3" t="s">
        <v>1656</v>
      </c>
      <c r="F663" t="e">
        <f>_xlfn.XLOOKUP(A663,[1]邦达数据库!$A:$A,[1]邦达数据库!$C:$C)</f>
        <v>#N/A</v>
      </c>
    </row>
    <row r="664" ht="30" customHeight="1" spans="1:6">
      <c r="A664" s="4" t="s">
        <v>1657</v>
      </c>
      <c r="B664" s="5" t="s">
        <v>1026</v>
      </c>
      <c r="C664" s="5" t="s">
        <v>1658</v>
      </c>
      <c r="D664" s="5" t="s">
        <v>1659</v>
      </c>
      <c r="E664" s="5" t="s">
        <v>1660</v>
      </c>
      <c r="F664" t="e">
        <f>_xlfn.XLOOKUP(A664,[1]邦达数据库!$A:$A,[1]邦达数据库!$C:$C)</f>
        <v>#N/A</v>
      </c>
    </row>
    <row r="665" ht="30" customHeight="1" spans="1:6">
      <c r="A665" s="2" t="s">
        <v>1661</v>
      </c>
      <c r="B665" s="3" t="s">
        <v>1026</v>
      </c>
      <c r="C665" s="3" t="s">
        <v>1658</v>
      </c>
      <c r="D665" s="3" t="s">
        <v>1038</v>
      </c>
      <c r="E665" s="3" t="s">
        <v>1039</v>
      </c>
      <c r="F665" t="e">
        <f>_xlfn.XLOOKUP(A665,[1]邦达数据库!$A:$A,[1]邦达数据库!$C:$C)</f>
        <v>#N/A</v>
      </c>
    </row>
    <row r="666" ht="30" customHeight="1" spans="1:6">
      <c r="A666" s="4" t="s">
        <v>1662</v>
      </c>
      <c r="B666" s="5" t="s">
        <v>1663</v>
      </c>
      <c r="C666" s="5" t="s">
        <v>265</v>
      </c>
      <c r="D666" s="5" t="s">
        <v>1664</v>
      </c>
      <c r="E666" s="5" t="s">
        <v>1665</v>
      </c>
      <c r="F666" t="e">
        <f>_xlfn.XLOOKUP(A666,[1]邦达数据库!$A:$A,[1]邦达数据库!$C:$C)</f>
        <v>#N/A</v>
      </c>
    </row>
    <row r="667" ht="30" customHeight="1" spans="1:6">
      <c r="A667" s="2" t="s">
        <v>1666</v>
      </c>
      <c r="B667" s="3" t="s">
        <v>1667</v>
      </c>
      <c r="C667" s="3" t="s">
        <v>1447</v>
      </c>
      <c r="D667" s="3" t="s">
        <v>900</v>
      </c>
      <c r="E667" s="3" t="s">
        <v>901</v>
      </c>
      <c r="F667" t="e">
        <f>_xlfn.XLOOKUP(A667,[1]邦达数据库!$A:$A,[1]邦达数据库!$C:$C)</f>
        <v>#N/A</v>
      </c>
    </row>
    <row r="668" ht="30" customHeight="1" spans="1:6">
      <c r="A668" s="4" t="s">
        <v>1668</v>
      </c>
      <c r="B668" s="5" t="s">
        <v>1667</v>
      </c>
      <c r="C668" s="5" t="s">
        <v>1447</v>
      </c>
      <c r="D668" s="5" t="s">
        <v>1669</v>
      </c>
      <c r="E668" s="5" t="s">
        <v>1670</v>
      </c>
      <c r="F668" t="e">
        <f>_xlfn.XLOOKUP(A668,[1]邦达数据库!$A:$A,[1]邦达数据库!$C:$C)</f>
        <v>#N/A</v>
      </c>
    </row>
    <row r="669" ht="30" customHeight="1" spans="1:6">
      <c r="A669" s="2" t="s">
        <v>1671</v>
      </c>
      <c r="B669" s="3" t="s">
        <v>1667</v>
      </c>
      <c r="C669" s="3" t="s">
        <v>1447</v>
      </c>
      <c r="D669" s="3" t="s">
        <v>711</v>
      </c>
      <c r="E669" s="3" t="s">
        <v>712</v>
      </c>
      <c r="F669" t="e">
        <f>_xlfn.XLOOKUP(A669,[1]邦达数据库!$A:$A,[1]邦达数据库!$C:$C)</f>
        <v>#N/A</v>
      </c>
    </row>
    <row r="670" ht="30" customHeight="1" spans="1:6">
      <c r="A670" s="4" t="s">
        <v>1672</v>
      </c>
      <c r="B670" s="5" t="s">
        <v>1667</v>
      </c>
      <c r="C670" s="5" t="s">
        <v>1447</v>
      </c>
      <c r="D670" s="5" t="s">
        <v>1673</v>
      </c>
      <c r="E670" s="5" t="s">
        <v>1674</v>
      </c>
      <c r="F670" t="e">
        <f>_xlfn.XLOOKUP(A670,[1]邦达数据库!$A:$A,[1]邦达数据库!$C:$C)</f>
        <v>#N/A</v>
      </c>
    </row>
    <row r="671" ht="30" customHeight="1" spans="1:6">
      <c r="A671" s="2" t="s">
        <v>1675</v>
      </c>
      <c r="B671" s="3" t="s">
        <v>1667</v>
      </c>
      <c r="C671" s="3" t="s">
        <v>1447</v>
      </c>
      <c r="D671" s="3" t="s">
        <v>900</v>
      </c>
      <c r="E671" s="3" t="s">
        <v>901</v>
      </c>
      <c r="F671" t="e">
        <f>_xlfn.XLOOKUP(A671,[1]邦达数据库!$A:$A,[1]邦达数据库!$C:$C)</f>
        <v>#N/A</v>
      </c>
    </row>
    <row r="672" ht="30" customHeight="1" spans="1:6">
      <c r="A672" s="2" t="s">
        <v>1676</v>
      </c>
      <c r="B672" s="3" t="s">
        <v>288</v>
      </c>
      <c r="C672" s="3" t="s">
        <v>221</v>
      </c>
      <c r="D672" s="3" t="s">
        <v>1646</v>
      </c>
      <c r="E672" s="3" t="s">
        <v>1647</v>
      </c>
      <c r="F672" t="e">
        <f>_xlfn.XLOOKUP(A672,[1]邦达数据库!$A:$A,[1]邦达数据库!$C:$C)</f>
        <v>#N/A</v>
      </c>
    </row>
    <row r="673" ht="30" customHeight="1" spans="1:6">
      <c r="A673" s="4" t="s">
        <v>1677</v>
      </c>
      <c r="B673" s="5" t="s">
        <v>288</v>
      </c>
      <c r="C673" s="5" t="s">
        <v>221</v>
      </c>
      <c r="D673" s="5" t="s">
        <v>1678</v>
      </c>
      <c r="E673" s="5" t="s">
        <v>1679</v>
      </c>
      <c r="F673" t="e">
        <f>_xlfn.XLOOKUP(A673,[1]邦达数据库!$A:$A,[1]邦达数据库!$C:$C)</f>
        <v>#N/A</v>
      </c>
    </row>
    <row r="674" ht="30" customHeight="1" spans="1:6">
      <c r="A674" s="4" t="s">
        <v>1680</v>
      </c>
      <c r="B674" s="5" t="s">
        <v>426</v>
      </c>
      <c r="C674" s="5" t="s">
        <v>270</v>
      </c>
      <c r="D674" s="5" t="s">
        <v>117</v>
      </c>
      <c r="E674" s="5" t="s">
        <v>118</v>
      </c>
      <c r="F674" t="e">
        <f>_xlfn.XLOOKUP(A674,[1]邦达数据库!$A:$A,[1]邦达数据库!$C:$C)</f>
        <v>#N/A</v>
      </c>
    </row>
    <row r="675" ht="30" customHeight="1" spans="1:6">
      <c r="A675" s="2" t="s">
        <v>1681</v>
      </c>
      <c r="B675" s="3" t="s">
        <v>1405</v>
      </c>
      <c r="C675" s="3" t="s">
        <v>265</v>
      </c>
      <c r="D675" s="3" t="s">
        <v>417</v>
      </c>
      <c r="E675" s="3" t="s">
        <v>418</v>
      </c>
      <c r="F675" t="e">
        <f>_xlfn.XLOOKUP(A675,[1]邦达数据库!$A:$A,[1]邦达数据库!$C:$C)</f>
        <v>#N/A</v>
      </c>
    </row>
    <row r="676" ht="30" customHeight="1" spans="1:6">
      <c r="A676" s="4" t="s">
        <v>1682</v>
      </c>
      <c r="B676" s="5" t="s">
        <v>1405</v>
      </c>
      <c r="C676" s="5" t="s">
        <v>265</v>
      </c>
      <c r="D676" s="5" t="s">
        <v>417</v>
      </c>
      <c r="E676" s="5" t="s">
        <v>418</v>
      </c>
      <c r="F676" t="e">
        <f>_xlfn.XLOOKUP(A676,[1]邦达数据库!$A:$A,[1]邦达数据库!$C:$C)</f>
        <v>#N/A</v>
      </c>
    </row>
    <row r="677" ht="30" customHeight="1" spans="1:6">
      <c r="A677" s="2" t="s">
        <v>1683</v>
      </c>
      <c r="B677" s="3" t="s">
        <v>1405</v>
      </c>
      <c r="C677" s="3" t="s">
        <v>265</v>
      </c>
      <c r="D677" s="3" t="s">
        <v>417</v>
      </c>
      <c r="E677" s="3" t="s">
        <v>418</v>
      </c>
      <c r="F677" t="e">
        <f>_xlfn.XLOOKUP(A677,[1]邦达数据库!$A:$A,[1]邦达数据库!$C:$C)</f>
        <v>#N/A</v>
      </c>
    </row>
    <row r="678" ht="30" customHeight="1" spans="1:6">
      <c r="A678" s="4" t="s">
        <v>1684</v>
      </c>
      <c r="B678" s="5" t="s">
        <v>1405</v>
      </c>
      <c r="C678" s="5" t="s">
        <v>265</v>
      </c>
      <c r="D678" s="5" t="s">
        <v>417</v>
      </c>
      <c r="E678" s="5" t="s">
        <v>418</v>
      </c>
      <c r="F678" t="e">
        <f>_xlfn.XLOOKUP(A678,[1]邦达数据库!$A:$A,[1]邦达数据库!$C:$C)</f>
        <v>#N/A</v>
      </c>
    </row>
    <row r="679" ht="30" customHeight="1" spans="1:6">
      <c r="A679" s="2" t="s">
        <v>1685</v>
      </c>
      <c r="B679" s="3" t="s">
        <v>1686</v>
      </c>
      <c r="C679" s="3" t="s">
        <v>571</v>
      </c>
      <c r="D679" s="3" t="s">
        <v>1655</v>
      </c>
      <c r="E679" s="3" t="s">
        <v>1656</v>
      </c>
      <c r="F679" t="str">
        <f>_xlfn.XLOOKUP(A679,[1]邦达数据库!$A:$A,[1]邦达数据库!$C:$C)</f>
        <v>8425.42.0000</v>
      </c>
    </row>
    <row r="680" ht="30" customHeight="1" spans="1:6">
      <c r="A680" s="4" t="s">
        <v>1687</v>
      </c>
      <c r="B680" s="5" t="s">
        <v>1688</v>
      </c>
      <c r="C680" s="5" t="s">
        <v>17</v>
      </c>
      <c r="D680" s="5" t="s">
        <v>815</v>
      </c>
      <c r="E680" s="5" t="s">
        <v>816</v>
      </c>
      <c r="F680" t="e">
        <f>_xlfn.XLOOKUP(A680,[1]邦达数据库!$A:$A,[1]邦达数据库!$C:$C)</f>
        <v>#N/A</v>
      </c>
    </row>
    <row r="681" ht="30" customHeight="1" spans="1:6">
      <c r="A681" s="2" t="s">
        <v>1689</v>
      </c>
      <c r="B681" s="3" t="s">
        <v>1688</v>
      </c>
      <c r="C681" s="3" t="s">
        <v>17</v>
      </c>
      <c r="D681" s="3" t="s">
        <v>1690</v>
      </c>
      <c r="E681" s="3" t="s">
        <v>1691</v>
      </c>
      <c r="F681" t="e">
        <f>_xlfn.XLOOKUP(A681,[1]邦达数据库!$A:$A,[1]邦达数据库!$C:$C)</f>
        <v>#N/A</v>
      </c>
    </row>
    <row r="682" ht="30" customHeight="1" spans="1:6">
      <c r="A682" s="4" t="s">
        <v>1692</v>
      </c>
      <c r="B682" s="5" t="s">
        <v>1693</v>
      </c>
      <c r="C682" s="5" t="s">
        <v>1570</v>
      </c>
      <c r="D682" s="5" t="s">
        <v>374</v>
      </c>
      <c r="E682" s="5" t="s">
        <v>375</v>
      </c>
      <c r="F682" t="e">
        <f>_xlfn.XLOOKUP(A682,[1]邦达数据库!$A:$A,[1]邦达数据库!$C:$C)</f>
        <v>#N/A</v>
      </c>
    </row>
    <row r="683" ht="30" customHeight="1" spans="1:6">
      <c r="A683" s="2" t="s">
        <v>1694</v>
      </c>
      <c r="B683" s="3" t="s">
        <v>1693</v>
      </c>
      <c r="C683" s="3" t="s">
        <v>1570</v>
      </c>
      <c r="D683" s="3" t="s">
        <v>223</v>
      </c>
      <c r="E683" s="3" t="s">
        <v>224</v>
      </c>
      <c r="F683" t="e">
        <f>_xlfn.XLOOKUP(A683,[1]邦达数据库!$A:$A,[1]邦达数据库!$C:$C)</f>
        <v>#N/A</v>
      </c>
    </row>
    <row r="684" ht="30" customHeight="1" spans="1:6">
      <c r="A684" s="4" t="s">
        <v>1695</v>
      </c>
      <c r="B684" s="5" t="s">
        <v>1696</v>
      </c>
      <c r="C684" s="5" t="s">
        <v>72</v>
      </c>
      <c r="D684" s="5" t="s">
        <v>140</v>
      </c>
      <c r="E684" s="5" t="s">
        <v>141</v>
      </c>
      <c r="F684" t="e">
        <f>_xlfn.XLOOKUP(A684,[1]邦达数据库!$A:$A,[1]邦达数据库!$C:$C)</f>
        <v>#N/A</v>
      </c>
    </row>
    <row r="685" ht="30" customHeight="1" spans="1:6">
      <c r="A685" s="2" t="s">
        <v>1697</v>
      </c>
      <c r="B685" s="3" t="s">
        <v>139</v>
      </c>
      <c r="C685" s="3" t="s">
        <v>72</v>
      </c>
      <c r="D685" s="3" t="s">
        <v>1474</v>
      </c>
      <c r="E685" s="3" t="s">
        <v>1475</v>
      </c>
      <c r="F685" t="e">
        <f>_xlfn.XLOOKUP(A685,[1]邦达数据库!$A:$A,[1]邦达数据库!$C:$C)</f>
        <v>#N/A</v>
      </c>
    </row>
    <row r="686" ht="30" customHeight="1" spans="1:6">
      <c r="A686" s="4" t="s">
        <v>1698</v>
      </c>
      <c r="B686" s="5" t="s">
        <v>139</v>
      </c>
      <c r="C686" s="5" t="s">
        <v>72</v>
      </c>
      <c r="D686" s="5" t="s">
        <v>1699</v>
      </c>
      <c r="E686" s="5" t="s">
        <v>1700</v>
      </c>
      <c r="F686" t="e">
        <f>_xlfn.XLOOKUP(A686,[1]邦达数据库!$A:$A,[1]邦达数据库!$C:$C)</f>
        <v>#N/A</v>
      </c>
    </row>
    <row r="687" ht="30" customHeight="1" spans="1:6">
      <c r="A687" s="2" t="s">
        <v>1701</v>
      </c>
      <c r="B687" s="3" t="s">
        <v>1702</v>
      </c>
      <c r="C687" s="3" t="s">
        <v>1167</v>
      </c>
      <c r="D687" s="3" t="s">
        <v>170</v>
      </c>
      <c r="E687" s="3" t="s">
        <v>171</v>
      </c>
      <c r="F687" t="e">
        <f>_xlfn.XLOOKUP(A687,[1]邦达数据库!$A:$A,[1]邦达数据库!$C:$C)</f>
        <v>#N/A</v>
      </c>
    </row>
    <row r="688" ht="30" customHeight="1" spans="1:6">
      <c r="A688" s="4" t="s">
        <v>1703</v>
      </c>
      <c r="B688" s="5" t="s">
        <v>1350</v>
      </c>
      <c r="C688" s="5" t="s">
        <v>1704</v>
      </c>
      <c r="D688" s="5" t="s">
        <v>73</v>
      </c>
      <c r="E688" s="5" t="s">
        <v>74</v>
      </c>
      <c r="F688" t="e">
        <f>_xlfn.XLOOKUP(A688,[1]邦达数据库!$A:$A,[1]邦达数据库!$C:$C)</f>
        <v>#N/A</v>
      </c>
    </row>
    <row r="689" ht="30" customHeight="1" spans="1:6">
      <c r="A689" s="2" t="s">
        <v>1705</v>
      </c>
      <c r="B689" s="3" t="s">
        <v>1350</v>
      </c>
      <c r="C689" s="3" t="s">
        <v>1704</v>
      </c>
      <c r="D689" s="3" t="s">
        <v>73</v>
      </c>
      <c r="E689" s="3" t="s">
        <v>74</v>
      </c>
      <c r="F689" t="e">
        <f>_xlfn.XLOOKUP(A689,[1]邦达数据库!$A:$A,[1]邦达数据库!$C:$C)</f>
        <v>#N/A</v>
      </c>
    </row>
    <row r="690" ht="30" customHeight="1" spans="1:6">
      <c r="A690" s="4" t="s">
        <v>1706</v>
      </c>
      <c r="B690" s="5" t="s">
        <v>1350</v>
      </c>
      <c r="C690" s="5" t="s">
        <v>1704</v>
      </c>
      <c r="D690" s="5" t="s">
        <v>73</v>
      </c>
      <c r="E690" s="5" t="s">
        <v>74</v>
      </c>
      <c r="F690" t="e">
        <f>_xlfn.XLOOKUP(A690,[1]邦达数据库!$A:$A,[1]邦达数据库!$C:$C)</f>
        <v>#N/A</v>
      </c>
    </row>
    <row r="691" ht="30" customHeight="1" spans="1:6">
      <c r="A691" s="2" t="s">
        <v>1707</v>
      </c>
      <c r="B691" s="3" t="s">
        <v>1350</v>
      </c>
      <c r="C691" s="3" t="s">
        <v>1704</v>
      </c>
      <c r="D691" s="3" t="s">
        <v>1708</v>
      </c>
      <c r="E691" s="3" t="s">
        <v>1709</v>
      </c>
      <c r="F691" t="e">
        <f>_xlfn.XLOOKUP(A691,[1]邦达数据库!$A:$A,[1]邦达数据库!$C:$C)</f>
        <v>#N/A</v>
      </c>
    </row>
    <row r="692" ht="30" customHeight="1" spans="1:6">
      <c r="A692" s="4" t="s">
        <v>1710</v>
      </c>
      <c r="B692" s="5" t="s">
        <v>1711</v>
      </c>
      <c r="C692" s="5" t="s">
        <v>1712</v>
      </c>
      <c r="D692" s="5" t="s">
        <v>158</v>
      </c>
      <c r="E692" s="5" t="s">
        <v>159</v>
      </c>
      <c r="F692" t="e">
        <f>_xlfn.XLOOKUP(A692,[1]邦达数据库!$A:$A,[1]邦达数据库!$C:$C)</f>
        <v>#N/A</v>
      </c>
    </row>
    <row r="693" ht="30" customHeight="1" spans="1:6">
      <c r="A693" s="2" t="s">
        <v>1713</v>
      </c>
      <c r="B693" s="3" t="s">
        <v>1711</v>
      </c>
      <c r="C693" s="3" t="s">
        <v>1714</v>
      </c>
      <c r="D693" s="3" t="s">
        <v>1715</v>
      </c>
      <c r="E693" s="3" t="s">
        <v>1716</v>
      </c>
      <c r="F693" t="e">
        <f>_xlfn.XLOOKUP(A693,[1]邦达数据库!$A:$A,[1]邦达数据库!$C:$C)</f>
        <v>#N/A</v>
      </c>
    </row>
    <row r="694" ht="30" customHeight="1" spans="1:6">
      <c r="A694" s="4" t="s">
        <v>1717</v>
      </c>
      <c r="B694" s="5" t="s">
        <v>1711</v>
      </c>
      <c r="C694" s="5" t="s">
        <v>1718</v>
      </c>
      <c r="D694" s="5" t="s">
        <v>1719</v>
      </c>
      <c r="E694" s="5" t="s">
        <v>1720</v>
      </c>
      <c r="F694" t="e">
        <f>_xlfn.XLOOKUP(A694,[1]邦达数据库!$A:$A,[1]邦达数据库!$C:$C)</f>
        <v>#N/A</v>
      </c>
    </row>
    <row r="695" ht="30" customHeight="1" spans="1:6">
      <c r="A695" s="2" t="s">
        <v>1721</v>
      </c>
      <c r="B695" s="3" t="s">
        <v>1722</v>
      </c>
      <c r="C695" s="3" t="s">
        <v>72</v>
      </c>
      <c r="D695" s="3" t="s">
        <v>1201</v>
      </c>
      <c r="E695" s="3" t="s">
        <v>1202</v>
      </c>
      <c r="F695" t="e">
        <f>_xlfn.XLOOKUP(A695,[1]邦达数据库!$A:$A,[1]邦达数据库!$C:$C)</f>
        <v>#N/A</v>
      </c>
    </row>
    <row r="696" ht="30" customHeight="1" spans="1:6">
      <c r="A696" s="4" t="s">
        <v>1723</v>
      </c>
      <c r="B696" s="5" t="s">
        <v>1722</v>
      </c>
      <c r="C696" s="5" t="s">
        <v>72</v>
      </c>
      <c r="D696" s="5" t="s">
        <v>1201</v>
      </c>
      <c r="E696" s="5" t="s">
        <v>1202</v>
      </c>
      <c r="F696" t="e">
        <f>_xlfn.XLOOKUP(A696,[1]邦达数据库!$A:$A,[1]邦达数据库!$C:$C)</f>
        <v>#N/A</v>
      </c>
    </row>
    <row r="697" ht="30" customHeight="1" spans="1:6">
      <c r="A697" s="2" t="s">
        <v>1724</v>
      </c>
      <c r="B697" s="3" t="s">
        <v>1725</v>
      </c>
      <c r="C697" s="3" t="s">
        <v>335</v>
      </c>
      <c r="D697" s="3" t="s">
        <v>1726</v>
      </c>
      <c r="E697" s="3" t="s">
        <v>1727</v>
      </c>
      <c r="F697" t="e">
        <f>_xlfn.XLOOKUP(A697,[1]邦达数据库!$A:$A,[1]邦达数据库!$C:$C)</f>
        <v>#N/A</v>
      </c>
    </row>
    <row r="698" ht="30" customHeight="1" spans="1:6">
      <c r="A698" s="4" t="s">
        <v>1728</v>
      </c>
      <c r="B698" s="5" t="s">
        <v>1725</v>
      </c>
      <c r="C698" s="5" t="s">
        <v>335</v>
      </c>
      <c r="D698" s="5" t="s">
        <v>1729</v>
      </c>
      <c r="E698" s="5" t="s">
        <v>1730</v>
      </c>
      <c r="F698" t="e">
        <f>_xlfn.XLOOKUP(A698,[1]邦达数据库!$A:$A,[1]邦达数据库!$C:$C)</f>
        <v>#N/A</v>
      </c>
    </row>
    <row r="699" ht="30" customHeight="1" spans="1:6">
      <c r="A699" s="2" t="s">
        <v>1731</v>
      </c>
      <c r="B699" s="3" t="s">
        <v>1732</v>
      </c>
      <c r="C699" s="3" t="s">
        <v>1467</v>
      </c>
      <c r="D699" s="3" t="s">
        <v>711</v>
      </c>
      <c r="E699" s="3" t="s">
        <v>712</v>
      </c>
      <c r="F699" t="e">
        <f>_xlfn.XLOOKUP(A699,[1]邦达数据库!$A:$A,[1]邦达数据库!$C:$C)</f>
        <v>#N/A</v>
      </c>
    </row>
    <row r="700" ht="30" customHeight="1" spans="1:6">
      <c r="A700" s="4" t="s">
        <v>1733</v>
      </c>
      <c r="B700" s="5" t="s">
        <v>1734</v>
      </c>
      <c r="C700" s="5" t="s">
        <v>1735</v>
      </c>
      <c r="D700" s="5" t="s">
        <v>1736</v>
      </c>
      <c r="E700" s="5" t="s">
        <v>1737</v>
      </c>
      <c r="F700" t="e">
        <f>_xlfn.XLOOKUP(A700,[1]邦达数据库!$A:$A,[1]邦达数据库!$C:$C)</f>
        <v>#N/A</v>
      </c>
    </row>
    <row r="701" ht="30" customHeight="1" spans="1:6">
      <c r="A701" s="2" t="s">
        <v>1738</v>
      </c>
      <c r="B701" s="3" t="s">
        <v>1739</v>
      </c>
      <c r="C701" s="3" t="s">
        <v>1740</v>
      </c>
      <c r="D701" s="3" t="s">
        <v>73</v>
      </c>
      <c r="E701" s="3" t="s">
        <v>74</v>
      </c>
      <c r="F701" t="str">
        <f>_xlfn.XLOOKUP(A701,[1]邦达数据库!$A:$A,[1]邦达数据库!$C:$C)</f>
        <v>5607.50.3090</v>
      </c>
    </row>
    <row r="702" ht="30" customHeight="1" spans="1:6">
      <c r="A702" s="4" t="s">
        <v>1741</v>
      </c>
      <c r="B702" s="5" t="s">
        <v>1742</v>
      </c>
      <c r="C702" s="5" t="s">
        <v>962</v>
      </c>
      <c r="D702" s="5" t="s">
        <v>379</v>
      </c>
      <c r="E702" s="5" t="s">
        <v>380</v>
      </c>
      <c r="F702" t="e">
        <f>_xlfn.XLOOKUP(A702,[1]邦达数据库!$A:$A,[1]邦达数据库!$C:$C)</f>
        <v>#N/A</v>
      </c>
    </row>
    <row r="703" ht="30" customHeight="1" spans="1:6">
      <c r="A703" s="2" t="s">
        <v>1743</v>
      </c>
      <c r="B703" s="3" t="s">
        <v>1744</v>
      </c>
      <c r="C703" s="3" t="s">
        <v>962</v>
      </c>
      <c r="D703" s="3" t="s">
        <v>1745</v>
      </c>
      <c r="E703" s="3" t="s">
        <v>1746</v>
      </c>
      <c r="F703" t="e">
        <f>_xlfn.XLOOKUP(A703,[1]邦达数据库!$A:$A,[1]邦达数据库!$C:$C)</f>
        <v>#N/A</v>
      </c>
    </row>
    <row r="704" ht="30" customHeight="1" spans="1:6">
      <c r="A704" s="4" t="s">
        <v>1747</v>
      </c>
      <c r="B704" s="5" t="s">
        <v>1748</v>
      </c>
      <c r="C704" s="5" t="s">
        <v>255</v>
      </c>
      <c r="D704" s="5" t="s">
        <v>428</v>
      </c>
      <c r="E704" s="5" t="s">
        <v>429</v>
      </c>
      <c r="F704" t="e">
        <f>_xlfn.XLOOKUP(A704,[1]邦达数据库!$A:$A,[1]邦达数据库!$C:$C)</f>
        <v>#N/A</v>
      </c>
    </row>
    <row r="705" ht="30" customHeight="1" spans="1:6">
      <c r="A705" s="2" t="s">
        <v>1749</v>
      </c>
      <c r="B705" s="3" t="s">
        <v>1748</v>
      </c>
      <c r="C705" s="3" t="s">
        <v>255</v>
      </c>
      <c r="D705" s="3" t="s">
        <v>271</v>
      </c>
      <c r="E705" s="3" t="s">
        <v>272</v>
      </c>
      <c r="F705" t="e">
        <f>_xlfn.XLOOKUP(A705,[1]邦达数据库!$A:$A,[1]邦达数据库!$C:$C)</f>
        <v>#N/A</v>
      </c>
    </row>
    <row r="706" ht="30" customHeight="1" spans="1:6">
      <c r="A706" s="4" t="s">
        <v>1750</v>
      </c>
      <c r="B706" s="5" t="s">
        <v>1748</v>
      </c>
      <c r="C706" s="5" t="s">
        <v>255</v>
      </c>
      <c r="D706" s="5" t="s">
        <v>428</v>
      </c>
      <c r="E706" s="5" t="s">
        <v>429</v>
      </c>
      <c r="F706" t="e">
        <f>_xlfn.XLOOKUP(A706,[1]邦达数据库!$A:$A,[1]邦达数据库!$C:$C)</f>
        <v>#N/A</v>
      </c>
    </row>
    <row r="707" ht="30" customHeight="1" spans="1:6">
      <c r="A707" s="2" t="s">
        <v>1751</v>
      </c>
      <c r="B707" s="3" t="s">
        <v>1748</v>
      </c>
      <c r="C707" s="3" t="s">
        <v>255</v>
      </c>
      <c r="D707" s="3" t="s">
        <v>428</v>
      </c>
      <c r="E707" s="3" t="s">
        <v>429</v>
      </c>
      <c r="F707" t="e">
        <f>_xlfn.XLOOKUP(A707,[1]邦达数据库!$A:$A,[1]邦达数据库!$C:$C)</f>
        <v>#N/A</v>
      </c>
    </row>
    <row r="708" ht="30" customHeight="1" spans="1:6">
      <c r="A708" s="4" t="s">
        <v>1752</v>
      </c>
      <c r="B708" s="5" t="s">
        <v>1748</v>
      </c>
      <c r="C708" s="5" t="s">
        <v>255</v>
      </c>
      <c r="D708" s="5" t="s">
        <v>428</v>
      </c>
      <c r="E708" s="5" t="s">
        <v>429</v>
      </c>
      <c r="F708" t="e">
        <f>_xlfn.XLOOKUP(A708,[1]邦达数据库!$A:$A,[1]邦达数据库!$C:$C)</f>
        <v>#N/A</v>
      </c>
    </row>
    <row r="709" ht="30" customHeight="1" spans="1:6">
      <c r="A709" s="2" t="s">
        <v>1753</v>
      </c>
      <c r="B709" s="3" t="s">
        <v>1754</v>
      </c>
      <c r="C709" s="3" t="s">
        <v>88</v>
      </c>
      <c r="D709" s="3" t="s">
        <v>18</v>
      </c>
      <c r="E709" s="3" t="s">
        <v>19</v>
      </c>
      <c r="F709" t="e">
        <f>_xlfn.XLOOKUP(A709,[1]邦达数据库!$A:$A,[1]邦达数据库!$C:$C)</f>
        <v>#N/A</v>
      </c>
    </row>
    <row r="710" ht="30" customHeight="1" spans="1:6">
      <c r="A710" s="4" t="s">
        <v>1755</v>
      </c>
      <c r="B710" s="5" t="s">
        <v>1756</v>
      </c>
      <c r="C710" s="5" t="s">
        <v>265</v>
      </c>
      <c r="D710" s="5" t="s">
        <v>73</v>
      </c>
      <c r="E710" s="5" t="s">
        <v>74</v>
      </c>
      <c r="F710" t="e">
        <f>_xlfn.XLOOKUP(A710,[1]邦达数据库!$A:$A,[1]邦达数据库!$C:$C)</f>
        <v>#N/A</v>
      </c>
    </row>
    <row r="711" ht="30" customHeight="1" spans="1:6">
      <c r="A711" s="2" t="s">
        <v>1757</v>
      </c>
      <c r="B711" s="3" t="s">
        <v>1758</v>
      </c>
      <c r="C711" s="3" t="s">
        <v>1759</v>
      </c>
      <c r="D711" s="3" t="s">
        <v>73</v>
      </c>
      <c r="E711" s="3" t="s">
        <v>74</v>
      </c>
      <c r="F711" t="e">
        <f>_xlfn.XLOOKUP(A711,[1]邦达数据库!$A:$A,[1]邦达数据库!$C:$C)</f>
        <v>#N/A</v>
      </c>
    </row>
    <row r="712" ht="30" customHeight="1" spans="1:6">
      <c r="A712" s="4" t="s">
        <v>1760</v>
      </c>
      <c r="B712" s="5" t="s">
        <v>1761</v>
      </c>
      <c r="C712" s="5" t="s">
        <v>1762</v>
      </c>
      <c r="D712" s="5" t="s">
        <v>1423</v>
      </c>
      <c r="E712" s="5" t="s">
        <v>1424</v>
      </c>
      <c r="F712" t="e">
        <f>_xlfn.XLOOKUP(A712,[1]邦达数据库!$A:$A,[1]邦达数据库!$C:$C)</f>
        <v>#N/A</v>
      </c>
    </row>
    <row r="713" ht="30" customHeight="1" spans="1:6">
      <c r="A713" s="2" t="s">
        <v>1763</v>
      </c>
      <c r="B713" s="3" t="s">
        <v>1761</v>
      </c>
      <c r="C713" s="3" t="s">
        <v>1762</v>
      </c>
      <c r="D713" s="3" t="s">
        <v>1423</v>
      </c>
      <c r="E713" s="3" t="s">
        <v>1424</v>
      </c>
      <c r="F713" t="e">
        <f>_xlfn.XLOOKUP(A713,[1]邦达数据库!$A:$A,[1]邦达数据库!$C:$C)</f>
        <v>#N/A</v>
      </c>
    </row>
    <row r="714" ht="30" customHeight="1" spans="1:6">
      <c r="A714" s="4" t="s">
        <v>1764</v>
      </c>
      <c r="B714" s="5" t="s">
        <v>1761</v>
      </c>
      <c r="C714" s="5" t="s">
        <v>1762</v>
      </c>
      <c r="D714" s="5" t="s">
        <v>1423</v>
      </c>
      <c r="E714" s="5" t="s">
        <v>1424</v>
      </c>
      <c r="F714" t="e">
        <f>_xlfn.XLOOKUP(A714,[1]邦达数据库!$A:$A,[1]邦达数据库!$C:$C)</f>
        <v>#N/A</v>
      </c>
    </row>
    <row r="715" ht="30" customHeight="1" spans="1:6">
      <c r="A715" s="2" t="s">
        <v>1765</v>
      </c>
      <c r="B715" s="3" t="s">
        <v>1761</v>
      </c>
      <c r="C715" s="3" t="s">
        <v>1762</v>
      </c>
      <c r="D715" s="3" t="s">
        <v>1423</v>
      </c>
      <c r="E715" s="3" t="s">
        <v>1424</v>
      </c>
      <c r="F715" t="e">
        <f>_xlfn.XLOOKUP(A715,[1]邦达数据库!$A:$A,[1]邦达数据库!$C:$C)</f>
        <v>#N/A</v>
      </c>
    </row>
    <row r="716" ht="30" customHeight="1" spans="1:6">
      <c r="A716" s="4" t="s">
        <v>1766</v>
      </c>
      <c r="B716" s="5" t="s">
        <v>1761</v>
      </c>
      <c r="C716" s="5" t="s">
        <v>1762</v>
      </c>
      <c r="D716" s="5" t="s">
        <v>1423</v>
      </c>
      <c r="E716" s="5" t="s">
        <v>1424</v>
      </c>
      <c r="F716" t="e">
        <f>_xlfn.XLOOKUP(A716,[1]邦达数据库!$A:$A,[1]邦达数据库!$C:$C)</f>
        <v>#N/A</v>
      </c>
    </row>
    <row r="717" ht="30" customHeight="1" spans="1:6">
      <c r="A717" s="2" t="s">
        <v>1767</v>
      </c>
      <c r="B717" s="3" t="s">
        <v>1761</v>
      </c>
      <c r="C717" s="3" t="s">
        <v>1762</v>
      </c>
      <c r="D717" s="3" t="s">
        <v>1423</v>
      </c>
      <c r="E717" s="3" t="s">
        <v>1424</v>
      </c>
      <c r="F717" t="e">
        <f>_xlfn.XLOOKUP(A717,[1]邦达数据库!$A:$A,[1]邦达数据库!$C:$C)</f>
        <v>#N/A</v>
      </c>
    </row>
    <row r="718" ht="30" customHeight="1" spans="1:6">
      <c r="A718" s="4" t="s">
        <v>1768</v>
      </c>
      <c r="B718" s="5" t="s">
        <v>1761</v>
      </c>
      <c r="C718" s="5" t="s">
        <v>1762</v>
      </c>
      <c r="D718" s="5" t="s">
        <v>1423</v>
      </c>
      <c r="E718" s="5" t="s">
        <v>1424</v>
      </c>
      <c r="F718" t="e">
        <f>_xlfn.XLOOKUP(A718,[1]邦达数据库!$A:$A,[1]邦达数据库!$C:$C)</f>
        <v>#N/A</v>
      </c>
    </row>
    <row r="719" ht="30" customHeight="1" spans="1:6">
      <c r="A719" s="2" t="s">
        <v>1769</v>
      </c>
      <c r="B719" s="3" t="s">
        <v>1761</v>
      </c>
      <c r="C719" s="3" t="s">
        <v>1762</v>
      </c>
      <c r="D719" s="3" t="s">
        <v>1423</v>
      </c>
      <c r="E719" s="3" t="s">
        <v>1424</v>
      </c>
      <c r="F719" t="e">
        <f>_xlfn.XLOOKUP(A719,[1]邦达数据库!$A:$A,[1]邦达数据库!$C:$C)</f>
        <v>#N/A</v>
      </c>
    </row>
    <row r="720" ht="30" customHeight="1" spans="1:6">
      <c r="A720" s="4" t="s">
        <v>1770</v>
      </c>
      <c r="B720" s="5" t="s">
        <v>1761</v>
      </c>
      <c r="C720" s="5" t="s">
        <v>1762</v>
      </c>
      <c r="D720" s="5" t="s">
        <v>1423</v>
      </c>
      <c r="E720" s="5" t="s">
        <v>1424</v>
      </c>
      <c r="F720" t="e">
        <f>_xlfn.XLOOKUP(A720,[1]邦达数据库!$A:$A,[1]邦达数据库!$C:$C)</f>
        <v>#N/A</v>
      </c>
    </row>
    <row r="721" ht="30" customHeight="1" spans="1:6">
      <c r="A721" s="2" t="s">
        <v>1771</v>
      </c>
      <c r="B721" s="3" t="s">
        <v>1761</v>
      </c>
      <c r="C721" s="3" t="s">
        <v>1762</v>
      </c>
      <c r="D721" s="3" t="s">
        <v>1423</v>
      </c>
      <c r="E721" s="3" t="s">
        <v>1424</v>
      </c>
      <c r="F721" t="e">
        <f>_xlfn.XLOOKUP(A721,[1]邦达数据库!$A:$A,[1]邦达数据库!$C:$C)</f>
        <v>#N/A</v>
      </c>
    </row>
    <row r="722" ht="30" customHeight="1" spans="1:6">
      <c r="A722" s="4" t="s">
        <v>1772</v>
      </c>
      <c r="B722" s="5" t="s">
        <v>1773</v>
      </c>
      <c r="C722" s="5" t="s">
        <v>123</v>
      </c>
      <c r="D722" s="5" t="s">
        <v>1091</v>
      </c>
      <c r="E722" s="5" t="s">
        <v>1092</v>
      </c>
      <c r="F722" t="e">
        <f>_xlfn.XLOOKUP(A722,[1]邦达数据库!$A:$A,[1]邦达数据库!$C:$C)</f>
        <v>#N/A</v>
      </c>
    </row>
    <row r="723" ht="30" customHeight="1" spans="1:6">
      <c r="A723" s="2" t="s">
        <v>1774</v>
      </c>
      <c r="B723" s="3" t="s">
        <v>1773</v>
      </c>
      <c r="C723" s="3" t="s">
        <v>123</v>
      </c>
      <c r="D723" s="3" t="s">
        <v>1091</v>
      </c>
      <c r="E723" s="3" t="s">
        <v>1092</v>
      </c>
      <c r="F723" t="e">
        <f>_xlfn.XLOOKUP(A723,[1]邦达数据库!$A:$A,[1]邦达数据库!$C:$C)</f>
        <v>#N/A</v>
      </c>
    </row>
    <row r="724" ht="30" customHeight="1" spans="1:6">
      <c r="A724" s="4" t="s">
        <v>1775</v>
      </c>
      <c r="B724" s="5" t="s">
        <v>1773</v>
      </c>
      <c r="C724" s="5" t="s">
        <v>123</v>
      </c>
      <c r="D724" s="5" t="s">
        <v>1091</v>
      </c>
      <c r="E724" s="5" t="s">
        <v>1092</v>
      </c>
      <c r="F724" t="e">
        <f>_xlfn.XLOOKUP(A724,[1]邦达数据库!$A:$A,[1]邦达数据库!$C:$C)</f>
        <v>#N/A</v>
      </c>
    </row>
    <row r="725" ht="30" customHeight="1" spans="1:6">
      <c r="A725" s="2" t="s">
        <v>1776</v>
      </c>
      <c r="B725" s="3" t="s">
        <v>1777</v>
      </c>
      <c r="C725" s="3" t="s">
        <v>330</v>
      </c>
      <c r="D725" s="3" t="s">
        <v>271</v>
      </c>
      <c r="E725" s="3" t="s">
        <v>272</v>
      </c>
      <c r="F725" t="e">
        <f>_xlfn.XLOOKUP(A725,[1]邦达数据库!$A:$A,[1]邦达数据库!$C:$C)</f>
        <v>#N/A</v>
      </c>
    </row>
    <row r="726" ht="30" customHeight="1" spans="1:6">
      <c r="A726" s="4" t="s">
        <v>1778</v>
      </c>
      <c r="B726" s="5" t="s">
        <v>1777</v>
      </c>
      <c r="C726" s="5" t="s">
        <v>330</v>
      </c>
      <c r="D726" s="5" t="s">
        <v>271</v>
      </c>
      <c r="E726" s="5" t="s">
        <v>272</v>
      </c>
      <c r="F726" t="e">
        <f>_xlfn.XLOOKUP(A726,[1]邦达数据库!$A:$A,[1]邦达数据库!$C:$C)</f>
        <v>#N/A</v>
      </c>
    </row>
    <row r="727" ht="30" customHeight="1" spans="1:6">
      <c r="A727" s="2" t="s">
        <v>1779</v>
      </c>
      <c r="B727" s="3" t="s">
        <v>1780</v>
      </c>
      <c r="C727" s="3" t="s">
        <v>1762</v>
      </c>
      <c r="D727" s="3" t="s">
        <v>1423</v>
      </c>
      <c r="E727" s="3" t="s">
        <v>1424</v>
      </c>
      <c r="F727" t="str">
        <f>_xlfn.XLOOKUP(A727,[1]邦达数据库!$A:$A,[1]邦达数据库!$C:$C)</f>
        <v>6304.91.0000</v>
      </c>
    </row>
    <row r="728" ht="30" customHeight="1" spans="1:6">
      <c r="A728" s="4" t="s">
        <v>1781</v>
      </c>
      <c r="B728" s="5" t="s">
        <v>16</v>
      </c>
      <c r="C728" s="5" t="s">
        <v>17</v>
      </c>
      <c r="D728" s="5" t="s">
        <v>18</v>
      </c>
      <c r="E728" s="5" t="s">
        <v>19</v>
      </c>
      <c r="F728" t="e">
        <f>_xlfn.XLOOKUP(A728,[1]邦达数据库!$A:$A,[1]邦达数据库!$C:$C)</f>
        <v>#N/A</v>
      </c>
    </row>
    <row r="729" ht="30" customHeight="1" spans="1:6">
      <c r="A729" s="2" t="s">
        <v>1782</v>
      </c>
      <c r="B729" s="3" t="s">
        <v>215</v>
      </c>
      <c r="C729" s="3" t="s">
        <v>216</v>
      </c>
      <c r="D729" s="3" t="s">
        <v>1783</v>
      </c>
      <c r="E729" s="3" t="s">
        <v>1784</v>
      </c>
      <c r="F729" t="e">
        <f>_xlfn.XLOOKUP(A729,[1]邦达数据库!$A:$A,[1]邦达数据库!$C:$C)</f>
        <v>#N/A</v>
      </c>
    </row>
    <row r="730" ht="30" customHeight="1" spans="1:6">
      <c r="A730" s="4" t="s">
        <v>1785</v>
      </c>
      <c r="B730" s="5" t="s">
        <v>215</v>
      </c>
      <c r="C730" s="5" t="s">
        <v>216</v>
      </c>
      <c r="D730" s="5" t="s">
        <v>1786</v>
      </c>
      <c r="E730" s="5" t="s">
        <v>1787</v>
      </c>
      <c r="F730" t="e">
        <f>_xlfn.XLOOKUP(A730,[1]邦达数据库!$A:$A,[1]邦达数据库!$C:$C)</f>
        <v>#N/A</v>
      </c>
    </row>
    <row r="731" ht="30" customHeight="1" spans="1:6">
      <c r="A731" s="2" t="s">
        <v>1788</v>
      </c>
      <c r="B731" s="3" t="s">
        <v>215</v>
      </c>
      <c r="C731" s="3" t="s">
        <v>216</v>
      </c>
      <c r="D731" s="3" t="s">
        <v>1789</v>
      </c>
      <c r="E731" s="3" t="s">
        <v>1790</v>
      </c>
      <c r="F731" t="e">
        <f>_xlfn.XLOOKUP(A731,[1]邦达数据库!$A:$A,[1]邦达数据库!$C:$C)</f>
        <v>#N/A</v>
      </c>
    </row>
    <row r="732" ht="30" customHeight="1" spans="1:6">
      <c r="A732" s="4" t="s">
        <v>1791</v>
      </c>
      <c r="B732" s="5" t="s">
        <v>1792</v>
      </c>
      <c r="C732" s="5" t="s">
        <v>1793</v>
      </c>
      <c r="D732" s="5" t="s">
        <v>579</v>
      </c>
      <c r="E732" s="5" t="s">
        <v>580</v>
      </c>
      <c r="F732" t="e">
        <f>_xlfn.XLOOKUP(A732,[1]邦达数据库!$A:$A,[1]邦达数据库!$C:$C)</f>
        <v>#N/A</v>
      </c>
    </row>
    <row r="733" ht="30" customHeight="1" spans="1:6">
      <c r="A733" s="2" t="s">
        <v>1794</v>
      </c>
      <c r="B733" s="3" t="s">
        <v>1792</v>
      </c>
      <c r="C733" s="3" t="s">
        <v>1793</v>
      </c>
      <c r="D733" s="3" t="s">
        <v>887</v>
      </c>
      <c r="E733" s="3" t="s">
        <v>888</v>
      </c>
      <c r="F733" t="e">
        <f>_xlfn.XLOOKUP(A733,[1]邦达数据库!$A:$A,[1]邦达数据库!$C:$C)</f>
        <v>#N/A</v>
      </c>
    </row>
    <row r="734" ht="30" customHeight="1" spans="1:6">
      <c r="A734" s="4" t="s">
        <v>1795</v>
      </c>
      <c r="B734" s="5" t="s">
        <v>1792</v>
      </c>
      <c r="C734" s="5" t="s">
        <v>1793</v>
      </c>
      <c r="D734" s="5" t="s">
        <v>887</v>
      </c>
      <c r="E734" s="5" t="s">
        <v>888</v>
      </c>
      <c r="F734" t="e">
        <f>_xlfn.XLOOKUP(A734,[1]邦达数据库!$A:$A,[1]邦达数据库!$C:$C)</f>
        <v>#N/A</v>
      </c>
    </row>
    <row r="735" ht="30" customHeight="1" spans="1:6">
      <c r="A735" s="2" t="s">
        <v>1796</v>
      </c>
      <c r="B735" s="3" t="s">
        <v>1792</v>
      </c>
      <c r="C735" s="3" t="s">
        <v>1793</v>
      </c>
      <c r="D735" s="3" t="s">
        <v>887</v>
      </c>
      <c r="E735" s="3" t="s">
        <v>888</v>
      </c>
      <c r="F735" t="e">
        <f>_xlfn.XLOOKUP(A735,[1]邦达数据库!$A:$A,[1]邦达数据库!$C:$C)</f>
        <v>#N/A</v>
      </c>
    </row>
    <row r="736" ht="30" customHeight="1" spans="1:6">
      <c r="A736" s="4" t="s">
        <v>1797</v>
      </c>
      <c r="B736" s="5" t="s">
        <v>1792</v>
      </c>
      <c r="C736" s="5" t="s">
        <v>1793</v>
      </c>
      <c r="D736" s="5" t="s">
        <v>887</v>
      </c>
      <c r="E736" s="5" t="s">
        <v>888</v>
      </c>
      <c r="F736" t="e">
        <f>_xlfn.XLOOKUP(A736,[1]邦达数据库!$A:$A,[1]邦达数据库!$C:$C)</f>
        <v>#N/A</v>
      </c>
    </row>
    <row r="737" ht="30" customHeight="1" spans="1:6">
      <c r="A737" s="2" t="s">
        <v>1798</v>
      </c>
      <c r="B737" s="3" t="s">
        <v>1799</v>
      </c>
      <c r="C737" s="3" t="s">
        <v>1800</v>
      </c>
      <c r="D737" s="3" t="s">
        <v>1801</v>
      </c>
      <c r="E737" s="3" t="s">
        <v>1802</v>
      </c>
      <c r="F737" t="e">
        <f>_xlfn.XLOOKUP(A737,[1]邦达数据库!$A:$A,[1]邦达数据库!$C:$C)</f>
        <v>#N/A</v>
      </c>
    </row>
    <row r="738" ht="30" customHeight="1" spans="1:6">
      <c r="A738" s="4" t="s">
        <v>1803</v>
      </c>
      <c r="B738" s="5" t="s">
        <v>1804</v>
      </c>
      <c r="C738" s="5" t="s">
        <v>17</v>
      </c>
      <c r="D738" s="5" t="s">
        <v>170</v>
      </c>
      <c r="E738" s="5" t="s">
        <v>171</v>
      </c>
      <c r="F738" t="e">
        <f>_xlfn.XLOOKUP(A738,[1]邦达数据库!$A:$A,[1]邦达数据库!$C:$C)</f>
        <v>#N/A</v>
      </c>
    </row>
    <row r="739" ht="30" customHeight="1" spans="1:6">
      <c r="A739" s="2" t="s">
        <v>1805</v>
      </c>
      <c r="B739" s="3" t="s">
        <v>1806</v>
      </c>
      <c r="C739" s="3" t="s">
        <v>17</v>
      </c>
      <c r="D739" s="3" t="s">
        <v>331</v>
      </c>
      <c r="E739" s="3" t="s">
        <v>332</v>
      </c>
      <c r="F739" t="e">
        <f>_xlfn.XLOOKUP(A739,[1]邦达数据库!$A:$A,[1]邦达数据库!$C:$C)</f>
        <v>#N/A</v>
      </c>
    </row>
    <row r="740" ht="30" customHeight="1" spans="1:6">
      <c r="A740" s="4" t="s">
        <v>1807</v>
      </c>
      <c r="B740" s="5" t="s">
        <v>1806</v>
      </c>
      <c r="C740" s="5" t="s">
        <v>17</v>
      </c>
      <c r="D740" s="5" t="s">
        <v>331</v>
      </c>
      <c r="E740" s="5" t="s">
        <v>332</v>
      </c>
      <c r="F740" t="e">
        <f>_xlfn.XLOOKUP(A740,[1]邦达数据库!$A:$A,[1]邦达数据库!$C:$C)</f>
        <v>#N/A</v>
      </c>
    </row>
    <row r="741" ht="30" customHeight="1" spans="1:6">
      <c r="A741" s="2" t="s">
        <v>1808</v>
      </c>
      <c r="B741" s="3" t="s">
        <v>1806</v>
      </c>
      <c r="C741" s="3" t="s">
        <v>17</v>
      </c>
      <c r="D741" s="3" t="s">
        <v>331</v>
      </c>
      <c r="E741" s="3" t="s">
        <v>332</v>
      </c>
      <c r="F741" t="e">
        <f>_xlfn.XLOOKUP(A741,[1]邦达数据库!$A:$A,[1]邦达数据库!$C:$C)</f>
        <v>#N/A</v>
      </c>
    </row>
    <row r="742" ht="30" customHeight="1" spans="1:6">
      <c r="A742" s="4" t="s">
        <v>1809</v>
      </c>
      <c r="B742" s="5" t="s">
        <v>1806</v>
      </c>
      <c r="C742" s="5" t="s">
        <v>1810</v>
      </c>
      <c r="D742" s="5" t="s">
        <v>331</v>
      </c>
      <c r="E742" s="5" t="s">
        <v>332</v>
      </c>
      <c r="F742" t="e">
        <f>_xlfn.XLOOKUP(A742,[1]邦达数据库!$A:$A,[1]邦达数据库!$C:$C)</f>
        <v>#N/A</v>
      </c>
    </row>
    <row r="743" ht="30" customHeight="1" spans="1:6">
      <c r="A743" s="2" t="s">
        <v>1811</v>
      </c>
      <c r="B743" s="3" t="s">
        <v>1806</v>
      </c>
      <c r="C743" s="3" t="s">
        <v>1810</v>
      </c>
      <c r="D743" s="3" t="s">
        <v>331</v>
      </c>
      <c r="E743" s="3" t="s">
        <v>332</v>
      </c>
      <c r="F743" t="e">
        <f>_xlfn.XLOOKUP(A743,[1]邦达数据库!$A:$A,[1]邦达数据库!$C:$C)</f>
        <v>#N/A</v>
      </c>
    </row>
    <row r="744" ht="30" customHeight="1" spans="1:6">
      <c r="A744" s="4" t="s">
        <v>1812</v>
      </c>
      <c r="B744" s="5" t="s">
        <v>1806</v>
      </c>
      <c r="C744" s="5" t="s">
        <v>1810</v>
      </c>
      <c r="D744" s="5" t="s">
        <v>243</v>
      </c>
      <c r="E744" s="5" t="s">
        <v>244</v>
      </c>
      <c r="F744" t="e">
        <f>_xlfn.XLOOKUP(A744,[1]邦达数据库!$A:$A,[1]邦达数据库!$C:$C)</f>
        <v>#N/A</v>
      </c>
    </row>
    <row r="745" ht="30" customHeight="1" spans="1:6">
      <c r="A745" s="2" t="s">
        <v>1813</v>
      </c>
      <c r="B745" s="3" t="s">
        <v>1814</v>
      </c>
      <c r="C745" s="3" t="s">
        <v>242</v>
      </c>
      <c r="D745" s="3" t="s">
        <v>1815</v>
      </c>
      <c r="E745" s="3" t="s">
        <v>1816</v>
      </c>
      <c r="F745" t="e">
        <f>_xlfn.XLOOKUP(A745,[1]邦达数据库!$A:$A,[1]邦达数据库!$C:$C)</f>
        <v>#N/A</v>
      </c>
    </row>
    <row r="746" ht="30" customHeight="1" spans="1:6">
      <c r="A746" s="4" t="s">
        <v>1817</v>
      </c>
      <c r="B746" s="5" t="s">
        <v>1818</v>
      </c>
      <c r="C746" s="5" t="s">
        <v>1819</v>
      </c>
      <c r="D746" s="5" t="s">
        <v>130</v>
      </c>
      <c r="E746" s="5" t="s">
        <v>131</v>
      </c>
      <c r="F746" t="e">
        <f>_xlfn.XLOOKUP(A746,[1]邦达数据库!$A:$A,[1]邦达数据库!$C:$C)</f>
        <v>#N/A</v>
      </c>
    </row>
    <row r="747" ht="30" customHeight="1" spans="1:6">
      <c r="A747" s="2" t="s">
        <v>1820</v>
      </c>
      <c r="B747" s="3" t="s">
        <v>1818</v>
      </c>
      <c r="C747" s="3" t="s">
        <v>1819</v>
      </c>
      <c r="D747" s="3" t="s">
        <v>130</v>
      </c>
      <c r="E747" s="3" t="s">
        <v>131</v>
      </c>
      <c r="F747" t="e">
        <f>_xlfn.XLOOKUP(A747,[1]邦达数据库!$A:$A,[1]邦达数据库!$C:$C)</f>
        <v>#N/A</v>
      </c>
    </row>
    <row r="748" ht="30" customHeight="1" spans="1:6">
      <c r="A748" s="4" t="s">
        <v>1821</v>
      </c>
      <c r="B748" s="5" t="s">
        <v>1818</v>
      </c>
      <c r="C748" s="5" t="s">
        <v>1819</v>
      </c>
      <c r="D748" s="5" t="s">
        <v>130</v>
      </c>
      <c r="E748" s="5" t="s">
        <v>131</v>
      </c>
      <c r="F748" t="e">
        <f>_xlfn.XLOOKUP(A748,[1]邦达数据库!$A:$A,[1]邦达数据库!$C:$C)</f>
        <v>#N/A</v>
      </c>
    </row>
    <row r="749" ht="30" customHeight="1" spans="1:6">
      <c r="A749" s="2" t="s">
        <v>1822</v>
      </c>
      <c r="B749" s="3" t="s">
        <v>1823</v>
      </c>
      <c r="C749" s="3" t="s">
        <v>1824</v>
      </c>
      <c r="D749" s="3" t="s">
        <v>1825</v>
      </c>
      <c r="E749" s="3" t="s">
        <v>1826</v>
      </c>
      <c r="F749" t="e">
        <f>_xlfn.XLOOKUP(A749,[1]邦达数据库!$A:$A,[1]邦达数据库!$C:$C)</f>
        <v>#N/A</v>
      </c>
    </row>
    <row r="750" ht="30" customHeight="1" spans="1:6">
      <c r="A750" s="4" t="s">
        <v>1827</v>
      </c>
      <c r="B750" s="5" t="s">
        <v>1823</v>
      </c>
      <c r="C750" s="5" t="s">
        <v>1828</v>
      </c>
      <c r="D750" s="5" t="s">
        <v>1825</v>
      </c>
      <c r="E750" s="5" t="s">
        <v>1826</v>
      </c>
      <c r="F750" t="e">
        <f>_xlfn.XLOOKUP(A750,[1]邦达数据库!$A:$A,[1]邦达数据库!$C:$C)</f>
        <v>#N/A</v>
      </c>
    </row>
    <row r="751" ht="30" customHeight="1" spans="1:6">
      <c r="A751" s="2" t="s">
        <v>1829</v>
      </c>
      <c r="B751" s="3" t="s">
        <v>1830</v>
      </c>
      <c r="C751" s="3" t="s">
        <v>1831</v>
      </c>
      <c r="D751" s="3" t="s">
        <v>73</v>
      </c>
      <c r="E751" s="3" t="s">
        <v>74</v>
      </c>
      <c r="F751" t="e">
        <f>_xlfn.XLOOKUP(A751,[1]邦达数据库!$A:$A,[1]邦达数据库!$C:$C)</f>
        <v>#N/A</v>
      </c>
    </row>
    <row r="752" ht="30" customHeight="1" spans="1:6">
      <c r="A752" s="4" t="s">
        <v>1832</v>
      </c>
      <c r="B752" s="5" t="s">
        <v>1833</v>
      </c>
      <c r="C752" s="5" t="s">
        <v>265</v>
      </c>
      <c r="D752" s="5" t="s">
        <v>170</v>
      </c>
      <c r="E752" s="5" t="s">
        <v>171</v>
      </c>
      <c r="F752" t="e">
        <f>_xlfn.XLOOKUP(A752,[1]邦达数据库!$A:$A,[1]邦达数据库!$C:$C)</f>
        <v>#N/A</v>
      </c>
    </row>
    <row r="753" ht="30" customHeight="1" spans="1:6">
      <c r="A753" s="2" t="s">
        <v>1834</v>
      </c>
      <c r="B753" s="3" t="s">
        <v>1833</v>
      </c>
      <c r="C753" s="3" t="s">
        <v>265</v>
      </c>
      <c r="D753" s="3" t="s">
        <v>223</v>
      </c>
      <c r="E753" s="3" t="s">
        <v>224</v>
      </c>
      <c r="F753" t="e">
        <f>_xlfn.XLOOKUP(A753,[1]邦达数据库!$A:$A,[1]邦达数据库!$C:$C)</f>
        <v>#N/A</v>
      </c>
    </row>
    <row r="754" ht="30" customHeight="1" spans="1:6">
      <c r="A754" s="4" t="s">
        <v>1835</v>
      </c>
      <c r="B754" s="5" t="s">
        <v>617</v>
      </c>
      <c r="C754" s="5" t="s">
        <v>216</v>
      </c>
      <c r="D754" s="5" t="s">
        <v>624</v>
      </c>
      <c r="E754" s="5" t="s">
        <v>625</v>
      </c>
      <c r="F754" t="str">
        <f>_xlfn.XLOOKUP(A754,[1]邦达数据库!$A:$A,[1]邦达数据库!$C:$C)</f>
        <v>7326.90.9890</v>
      </c>
    </row>
    <row r="755" ht="30" customHeight="1" spans="1:6">
      <c r="A755" s="2" t="s">
        <v>1836</v>
      </c>
      <c r="B755" s="3" t="s">
        <v>617</v>
      </c>
      <c r="C755" s="3" t="s">
        <v>216</v>
      </c>
      <c r="D755" s="3" t="s">
        <v>618</v>
      </c>
      <c r="E755" s="3" t="s">
        <v>619</v>
      </c>
      <c r="F755" t="e">
        <f>_xlfn.XLOOKUP(A755,[1]邦达数据库!$A:$A,[1]邦达数据库!$C:$C)</f>
        <v>#N/A</v>
      </c>
    </row>
    <row r="756" ht="30" customHeight="1" spans="1:6">
      <c r="A756" s="4" t="s">
        <v>1837</v>
      </c>
      <c r="B756" s="5" t="s">
        <v>617</v>
      </c>
      <c r="C756" s="5" t="s">
        <v>216</v>
      </c>
      <c r="D756" s="5" t="s">
        <v>621</v>
      </c>
      <c r="E756" s="5" t="s">
        <v>622</v>
      </c>
      <c r="F756" t="e">
        <f>_xlfn.XLOOKUP(A756,[1]邦达数据库!$A:$A,[1]邦达数据库!$C:$C)</f>
        <v>#N/A</v>
      </c>
    </row>
    <row r="757" ht="30" customHeight="1" spans="1:6">
      <c r="A757" s="2" t="s">
        <v>1838</v>
      </c>
      <c r="B757" s="3" t="s">
        <v>617</v>
      </c>
      <c r="C757" s="3" t="s">
        <v>216</v>
      </c>
      <c r="D757" s="3" t="s">
        <v>879</v>
      </c>
      <c r="E757" s="3" t="s">
        <v>880</v>
      </c>
      <c r="F757" t="e">
        <f>_xlfn.XLOOKUP(A757,[1]邦达数据库!$A:$A,[1]邦达数据库!$C:$C)</f>
        <v>#N/A</v>
      </c>
    </row>
    <row r="758" ht="30" customHeight="1" spans="1:6">
      <c r="A758" s="4" t="s">
        <v>1839</v>
      </c>
      <c r="B758" s="5" t="s">
        <v>617</v>
      </c>
      <c r="C758" s="5" t="s">
        <v>216</v>
      </c>
      <c r="D758" s="5" t="s">
        <v>879</v>
      </c>
      <c r="E758" s="5" t="s">
        <v>880</v>
      </c>
      <c r="F758" t="e">
        <f>_xlfn.XLOOKUP(A758,[1]邦达数据库!$A:$A,[1]邦达数据库!$C:$C)</f>
        <v>#N/A</v>
      </c>
    </row>
    <row r="759" ht="30" customHeight="1" spans="1:6">
      <c r="A759" s="2" t="s">
        <v>1840</v>
      </c>
      <c r="B759" s="3" t="s">
        <v>617</v>
      </c>
      <c r="C759" s="3" t="s">
        <v>216</v>
      </c>
      <c r="D759" s="3" t="s">
        <v>624</v>
      </c>
      <c r="E759" s="3" t="s">
        <v>625</v>
      </c>
      <c r="F759" t="str">
        <f>_xlfn.XLOOKUP(A759,[1]邦达数据库!$A:$A,[1]邦达数据库!$C:$C)</f>
        <v>7326.90.9890</v>
      </c>
    </row>
    <row r="760" ht="30" customHeight="1" spans="1:6">
      <c r="A760" s="4" t="s">
        <v>1841</v>
      </c>
      <c r="B760" s="5" t="s">
        <v>617</v>
      </c>
      <c r="C760" s="5" t="s">
        <v>216</v>
      </c>
      <c r="D760" s="5" t="s">
        <v>1842</v>
      </c>
      <c r="E760" s="5" t="s">
        <v>1843</v>
      </c>
      <c r="F760" t="str">
        <f>_xlfn.XLOOKUP(A760,[1]邦达数据库!$A:$A,[1]邦达数据库!$C:$C)</f>
        <v>7326.90.9890</v>
      </c>
    </row>
    <row r="761" ht="30" customHeight="1" spans="1:6">
      <c r="A761" s="2" t="s">
        <v>1844</v>
      </c>
      <c r="B761" s="3" t="s">
        <v>617</v>
      </c>
      <c r="C761" s="3" t="s">
        <v>216</v>
      </c>
      <c r="D761" s="3" t="s">
        <v>621</v>
      </c>
      <c r="E761" s="3" t="s">
        <v>622</v>
      </c>
      <c r="F761" t="str">
        <f>_xlfn.XLOOKUP(A761,[1]邦达数据库!$A:$A,[1]邦达数据库!$C:$C)</f>
        <v>7326.90.9890</v>
      </c>
    </row>
    <row r="762" ht="30" customHeight="1" spans="1:6">
      <c r="A762" s="4" t="s">
        <v>1845</v>
      </c>
      <c r="B762" s="5" t="s">
        <v>617</v>
      </c>
      <c r="C762" s="5" t="s">
        <v>216</v>
      </c>
      <c r="D762" s="5" t="s">
        <v>627</v>
      </c>
      <c r="E762" s="5" t="s">
        <v>628</v>
      </c>
      <c r="F762" t="str">
        <f>_xlfn.XLOOKUP(A762,[1]邦达数据库!$A:$A,[1]邦达数据库!$C:$C)</f>
        <v>7326.90.9890</v>
      </c>
    </row>
    <row r="763" ht="30" customHeight="1" spans="1:6">
      <c r="A763" s="2" t="s">
        <v>1846</v>
      </c>
      <c r="B763" s="3" t="s">
        <v>617</v>
      </c>
      <c r="C763" s="3" t="s">
        <v>216</v>
      </c>
      <c r="D763" s="3" t="s">
        <v>621</v>
      </c>
      <c r="E763" s="3" t="s">
        <v>622</v>
      </c>
      <c r="F763" t="e">
        <f>_xlfn.XLOOKUP(A763,[1]邦达数据库!$A:$A,[1]邦达数据库!$C:$C)</f>
        <v>#N/A</v>
      </c>
    </row>
    <row r="764" ht="30" customHeight="1" spans="1:6">
      <c r="A764" s="4" t="s">
        <v>1847</v>
      </c>
      <c r="B764" s="5" t="s">
        <v>617</v>
      </c>
      <c r="C764" s="5" t="s">
        <v>216</v>
      </c>
      <c r="D764" s="5" t="s">
        <v>621</v>
      </c>
      <c r="E764" s="5" t="s">
        <v>622</v>
      </c>
      <c r="F764" t="str">
        <f>_xlfn.XLOOKUP(A764,[1]邦达数据库!$A:$A,[1]邦达数据库!$C:$C)</f>
        <v>7326.90.9890</v>
      </c>
    </row>
    <row r="765" ht="30" customHeight="1" spans="1:6">
      <c r="A765" s="2" t="s">
        <v>1848</v>
      </c>
      <c r="B765" s="3" t="s">
        <v>617</v>
      </c>
      <c r="C765" s="3" t="s">
        <v>216</v>
      </c>
      <c r="D765" s="3" t="s">
        <v>624</v>
      </c>
      <c r="E765" s="3" t="s">
        <v>625</v>
      </c>
      <c r="F765" t="str">
        <f>_xlfn.XLOOKUP(A765,[1]邦达数据库!$A:$A,[1]邦达数据库!$C:$C)</f>
        <v>7326.90.9890</v>
      </c>
    </row>
    <row r="766" ht="30" customHeight="1" spans="1:6">
      <c r="A766" s="4" t="s">
        <v>1849</v>
      </c>
      <c r="B766" s="5" t="s">
        <v>617</v>
      </c>
      <c r="C766" s="5" t="s">
        <v>216</v>
      </c>
      <c r="D766" s="5" t="s">
        <v>618</v>
      </c>
      <c r="E766" s="5" t="s">
        <v>619</v>
      </c>
      <c r="F766" t="e">
        <f>_xlfn.XLOOKUP(A766,[1]邦达数据库!$A:$A,[1]邦达数据库!$C:$C)</f>
        <v>#N/A</v>
      </c>
    </row>
    <row r="767" ht="30" customHeight="1" spans="1:6">
      <c r="A767" s="2" t="s">
        <v>1850</v>
      </c>
      <c r="B767" s="3" t="s">
        <v>617</v>
      </c>
      <c r="C767" s="3" t="s">
        <v>216</v>
      </c>
      <c r="D767" s="3" t="s">
        <v>618</v>
      </c>
      <c r="E767" s="3" t="s">
        <v>619</v>
      </c>
      <c r="F767" t="e">
        <f>_xlfn.XLOOKUP(A767,[1]邦达数据库!$A:$A,[1]邦达数据库!$C:$C)</f>
        <v>#N/A</v>
      </c>
    </row>
    <row r="768" ht="30" customHeight="1" spans="1:6">
      <c r="A768" s="4" t="s">
        <v>1851</v>
      </c>
      <c r="B768" s="5" t="s">
        <v>617</v>
      </c>
      <c r="C768" s="5" t="s">
        <v>216</v>
      </c>
      <c r="D768" s="5" t="s">
        <v>621</v>
      </c>
      <c r="E768" s="5" t="s">
        <v>622</v>
      </c>
      <c r="F768" t="e">
        <f>_xlfn.XLOOKUP(A768,[1]邦达数据库!$A:$A,[1]邦达数据库!$C:$C)</f>
        <v>#N/A</v>
      </c>
    </row>
    <row r="769" ht="30" customHeight="1" spans="1:6">
      <c r="A769" s="2" t="s">
        <v>1852</v>
      </c>
      <c r="B769" s="3" t="s">
        <v>617</v>
      </c>
      <c r="C769" s="3" t="s">
        <v>216</v>
      </c>
      <c r="D769" s="3" t="s">
        <v>879</v>
      </c>
      <c r="E769" s="3" t="s">
        <v>880</v>
      </c>
      <c r="F769" t="e">
        <f>_xlfn.XLOOKUP(A769,[1]邦达数据库!$A:$A,[1]邦达数据库!$C:$C)</f>
        <v>#N/A</v>
      </c>
    </row>
    <row r="770" ht="30" customHeight="1" spans="1:6">
      <c r="A770" s="4" t="s">
        <v>1853</v>
      </c>
      <c r="B770" s="5" t="s">
        <v>617</v>
      </c>
      <c r="C770" s="5" t="s">
        <v>216</v>
      </c>
      <c r="D770" s="5" t="s">
        <v>624</v>
      </c>
      <c r="E770" s="5" t="s">
        <v>625</v>
      </c>
      <c r="F770" t="str">
        <f>_xlfn.XLOOKUP(A770,[1]邦达数据库!$A:$A,[1]邦达数据库!$C:$C)</f>
        <v>7326.90.9890</v>
      </c>
    </row>
    <row r="771" ht="30" customHeight="1" spans="1:6">
      <c r="A771" s="2" t="s">
        <v>1854</v>
      </c>
      <c r="B771" s="3" t="s">
        <v>617</v>
      </c>
      <c r="C771" s="3" t="s">
        <v>216</v>
      </c>
      <c r="D771" s="3" t="s">
        <v>624</v>
      </c>
      <c r="E771" s="3" t="s">
        <v>625</v>
      </c>
      <c r="F771" t="str">
        <f>_xlfn.XLOOKUP(A771,[1]邦达数据库!$A:$A,[1]邦达数据库!$C:$C)</f>
        <v>7326.90.9890</v>
      </c>
    </row>
    <row r="772" ht="30" customHeight="1" spans="1:6">
      <c r="A772" s="4" t="s">
        <v>1855</v>
      </c>
      <c r="B772" s="5" t="s">
        <v>324</v>
      </c>
      <c r="C772" s="5" t="s">
        <v>330</v>
      </c>
      <c r="D772" s="5" t="s">
        <v>1856</v>
      </c>
      <c r="E772" s="5" t="s">
        <v>1857</v>
      </c>
      <c r="F772" t="e">
        <f>_xlfn.XLOOKUP(A772,[1]邦达数据库!$A:$A,[1]邦达数据库!$C:$C)</f>
        <v>#N/A</v>
      </c>
    </row>
    <row r="773" ht="30" customHeight="1" spans="1:6">
      <c r="A773" s="2" t="s">
        <v>1858</v>
      </c>
      <c r="B773" s="3" t="s">
        <v>1859</v>
      </c>
      <c r="C773" s="3" t="s">
        <v>98</v>
      </c>
      <c r="D773" s="3" t="s">
        <v>276</v>
      </c>
      <c r="E773" s="3" t="s">
        <v>277</v>
      </c>
      <c r="F773" t="e">
        <f>_xlfn.XLOOKUP(A773,[1]邦达数据库!$A:$A,[1]邦达数据库!$C:$C)</f>
        <v>#N/A</v>
      </c>
    </row>
    <row r="774" ht="30" customHeight="1" spans="1:6">
      <c r="A774" s="4" t="s">
        <v>1860</v>
      </c>
      <c r="B774" s="5" t="s">
        <v>1859</v>
      </c>
      <c r="C774" s="5" t="s">
        <v>98</v>
      </c>
      <c r="D774" s="5" t="s">
        <v>276</v>
      </c>
      <c r="E774" s="5" t="s">
        <v>277</v>
      </c>
      <c r="F774" t="e">
        <f>_xlfn.XLOOKUP(A774,[1]邦达数据库!$A:$A,[1]邦达数据库!$C:$C)</f>
        <v>#N/A</v>
      </c>
    </row>
    <row r="775" ht="30" customHeight="1" spans="1:6">
      <c r="A775" s="2" t="s">
        <v>1861</v>
      </c>
      <c r="B775" s="3" t="s">
        <v>1859</v>
      </c>
      <c r="C775" s="3" t="s">
        <v>98</v>
      </c>
      <c r="D775" s="3" t="s">
        <v>276</v>
      </c>
      <c r="E775" s="3" t="s">
        <v>277</v>
      </c>
      <c r="F775" t="e">
        <f>_xlfn.XLOOKUP(A775,[1]邦达数据库!$A:$A,[1]邦达数据库!$C:$C)</f>
        <v>#N/A</v>
      </c>
    </row>
    <row r="776" ht="30" customHeight="1" spans="1:6">
      <c r="A776" s="4" t="s">
        <v>1862</v>
      </c>
      <c r="B776" s="5" t="s">
        <v>1859</v>
      </c>
      <c r="C776" s="5" t="s">
        <v>98</v>
      </c>
      <c r="D776" s="5" t="s">
        <v>276</v>
      </c>
      <c r="E776" s="5" t="s">
        <v>277</v>
      </c>
      <c r="F776" t="e">
        <f>_xlfn.XLOOKUP(A776,[1]邦达数据库!$A:$A,[1]邦达数据库!$C:$C)</f>
        <v>#N/A</v>
      </c>
    </row>
    <row r="777" ht="30" customHeight="1" spans="1:6">
      <c r="A777" s="2" t="s">
        <v>1863</v>
      </c>
      <c r="B777" s="3" t="s">
        <v>1864</v>
      </c>
      <c r="C777" s="3" t="s">
        <v>696</v>
      </c>
      <c r="D777" s="3" t="s">
        <v>223</v>
      </c>
      <c r="E777" s="3" t="s">
        <v>224</v>
      </c>
      <c r="F777" t="e">
        <f>_xlfn.XLOOKUP(A777,[1]邦达数据库!$A:$A,[1]邦达数据库!$C:$C)</f>
        <v>#N/A</v>
      </c>
    </row>
    <row r="778" ht="30" customHeight="1" spans="1:6">
      <c r="A778" s="4" t="s">
        <v>1865</v>
      </c>
      <c r="B778" s="5" t="s">
        <v>1864</v>
      </c>
      <c r="C778" s="5" t="s">
        <v>696</v>
      </c>
      <c r="D778" s="5" t="s">
        <v>223</v>
      </c>
      <c r="E778" s="5" t="s">
        <v>224</v>
      </c>
      <c r="F778" t="e">
        <f>_xlfn.XLOOKUP(A778,[1]邦达数据库!$A:$A,[1]邦达数据库!$C:$C)</f>
        <v>#N/A</v>
      </c>
    </row>
    <row r="779" ht="30" customHeight="1" spans="1:6">
      <c r="A779" s="2" t="s">
        <v>1866</v>
      </c>
      <c r="B779" s="3" t="s">
        <v>1864</v>
      </c>
      <c r="C779" s="3" t="s">
        <v>696</v>
      </c>
      <c r="D779" s="3" t="s">
        <v>223</v>
      </c>
      <c r="E779" s="3" t="s">
        <v>224</v>
      </c>
      <c r="F779" t="e">
        <f>_xlfn.XLOOKUP(A779,[1]邦达数据库!$A:$A,[1]邦达数据库!$C:$C)</f>
        <v>#N/A</v>
      </c>
    </row>
    <row r="780" ht="30" customHeight="1" spans="1:6">
      <c r="A780" s="4" t="s">
        <v>1867</v>
      </c>
      <c r="B780" s="5" t="s">
        <v>1864</v>
      </c>
      <c r="C780" s="5" t="s">
        <v>696</v>
      </c>
      <c r="D780" s="5" t="s">
        <v>223</v>
      </c>
      <c r="E780" s="5" t="s">
        <v>224</v>
      </c>
      <c r="F780" t="e">
        <f>_xlfn.XLOOKUP(A780,[1]邦达数据库!$A:$A,[1]邦达数据库!$C:$C)</f>
        <v>#N/A</v>
      </c>
    </row>
    <row r="781" ht="30" customHeight="1" spans="1:6">
      <c r="A781" s="2" t="s">
        <v>1868</v>
      </c>
      <c r="B781" s="3" t="s">
        <v>1864</v>
      </c>
      <c r="C781" s="3" t="s">
        <v>696</v>
      </c>
      <c r="D781" s="3" t="s">
        <v>223</v>
      </c>
      <c r="E781" s="3" t="s">
        <v>224</v>
      </c>
      <c r="F781" t="e">
        <f>_xlfn.XLOOKUP(A781,[1]邦达数据库!$A:$A,[1]邦达数据库!$C:$C)</f>
        <v>#N/A</v>
      </c>
    </row>
    <row r="782" ht="30" customHeight="1" spans="1:6">
      <c r="A782" s="4" t="s">
        <v>1869</v>
      </c>
      <c r="B782" s="5" t="s">
        <v>1864</v>
      </c>
      <c r="C782" s="5" t="s">
        <v>696</v>
      </c>
      <c r="D782" s="5" t="s">
        <v>223</v>
      </c>
      <c r="E782" s="5" t="s">
        <v>224</v>
      </c>
      <c r="F782" t="e">
        <f>_xlfn.XLOOKUP(A782,[1]邦达数据库!$A:$A,[1]邦达数据库!$C:$C)</f>
        <v>#N/A</v>
      </c>
    </row>
    <row r="783" ht="30" customHeight="1" spans="1:6">
      <c r="A783" s="2" t="s">
        <v>1870</v>
      </c>
      <c r="B783" s="3" t="s">
        <v>1871</v>
      </c>
      <c r="C783" s="3" t="s">
        <v>242</v>
      </c>
      <c r="D783" s="3" t="s">
        <v>1872</v>
      </c>
      <c r="E783" s="3" t="s">
        <v>1873</v>
      </c>
      <c r="F783" t="e">
        <f>_xlfn.XLOOKUP(A783,[1]邦达数据库!$A:$A,[1]邦达数据库!$C:$C)</f>
        <v>#N/A</v>
      </c>
    </row>
    <row r="784" ht="30" customHeight="1" spans="1:6">
      <c r="A784" s="4" t="s">
        <v>1874</v>
      </c>
      <c r="B784" s="5" t="s">
        <v>1871</v>
      </c>
      <c r="C784" s="5" t="s">
        <v>242</v>
      </c>
      <c r="D784" s="5" t="s">
        <v>1872</v>
      </c>
      <c r="E784" s="5" t="s">
        <v>1873</v>
      </c>
      <c r="F784" t="e">
        <f>_xlfn.XLOOKUP(A784,[1]邦达数据库!$A:$A,[1]邦达数据库!$C:$C)</f>
        <v>#N/A</v>
      </c>
    </row>
    <row r="785" ht="30" customHeight="1" spans="1:6">
      <c r="A785" s="2" t="s">
        <v>1875</v>
      </c>
      <c r="B785" s="3" t="s">
        <v>1871</v>
      </c>
      <c r="C785" s="3" t="s">
        <v>242</v>
      </c>
      <c r="D785" s="3" t="s">
        <v>1876</v>
      </c>
      <c r="E785" s="3" t="s">
        <v>1877</v>
      </c>
      <c r="F785" t="e">
        <f>_xlfn.XLOOKUP(A785,[1]邦达数据库!$A:$A,[1]邦达数据库!$C:$C)</f>
        <v>#N/A</v>
      </c>
    </row>
    <row r="786" ht="30" customHeight="1" spans="1:6">
      <c r="A786" s="4" t="s">
        <v>1878</v>
      </c>
      <c r="B786" s="5" t="s">
        <v>1879</v>
      </c>
      <c r="C786" s="5" t="s">
        <v>88</v>
      </c>
      <c r="D786" s="5" t="s">
        <v>1880</v>
      </c>
      <c r="E786" s="5" t="s">
        <v>1881</v>
      </c>
      <c r="F786" t="e">
        <f>_xlfn.XLOOKUP(A786,[1]邦达数据库!$A:$A,[1]邦达数据库!$C:$C)</f>
        <v>#N/A</v>
      </c>
    </row>
    <row r="787" ht="30" customHeight="1" spans="1:6">
      <c r="A787" s="2" t="s">
        <v>1882</v>
      </c>
      <c r="B787" s="3" t="s">
        <v>1879</v>
      </c>
      <c r="C787" s="3" t="s">
        <v>88</v>
      </c>
      <c r="D787" s="3" t="s">
        <v>1880</v>
      </c>
      <c r="E787" s="3" t="s">
        <v>1881</v>
      </c>
      <c r="F787" t="e">
        <f>_xlfn.XLOOKUP(A787,[1]邦达数据库!$A:$A,[1]邦达数据库!$C:$C)</f>
        <v>#N/A</v>
      </c>
    </row>
    <row r="788" ht="30" customHeight="1" spans="1:6">
      <c r="A788" s="4" t="s">
        <v>1883</v>
      </c>
      <c r="B788" s="5" t="s">
        <v>1879</v>
      </c>
      <c r="C788" s="5" t="s">
        <v>88</v>
      </c>
      <c r="D788" s="5" t="s">
        <v>1884</v>
      </c>
      <c r="E788" s="5" t="s">
        <v>1885</v>
      </c>
      <c r="F788" t="e">
        <f>_xlfn.XLOOKUP(A788,[1]邦达数据库!$A:$A,[1]邦达数据库!$C:$C)</f>
        <v>#N/A</v>
      </c>
    </row>
    <row r="789" ht="30" customHeight="1" spans="1:6">
      <c r="A789" s="2" t="s">
        <v>1886</v>
      </c>
      <c r="B789" s="3" t="s">
        <v>1879</v>
      </c>
      <c r="C789" s="3" t="s">
        <v>88</v>
      </c>
      <c r="D789" s="3" t="s">
        <v>1887</v>
      </c>
      <c r="E789" s="3" t="s">
        <v>1888</v>
      </c>
      <c r="F789" t="e">
        <f>_xlfn.XLOOKUP(A789,[1]邦达数据库!$A:$A,[1]邦达数据库!$C:$C)</f>
        <v>#N/A</v>
      </c>
    </row>
    <row r="790" ht="30" customHeight="1" spans="1:6">
      <c r="A790" s="4" t="s">
        <v>1889</v>
      </c>
      <c r="B790" s="5" t="s">
        <v>1879</v>
      </c>
      <c r="C790" s="5" t="s">
        <v>88</v>
      </c>
      <c r="D790" s="5" t="s">
        <v>1890</v>
      </c>
      <c r="E790" s="5" t="s">
        <v>1891</v>
      </c>
      <c r="F790" t="e">
        <f>_xlfn.XLOOKUP(A790,[1]邦达数据库!$A:$A,[1]邦达数据库!$C:$C)</f>
        <v>#N/A</v>
      </c>
    </row>
    <row r="791" ht="30" customHeight="1" spans="1:6">
      <c r="A791" s="2" t="s">
        <v>1892</v>
      </c>
      <c r="B791" s="3" t="s">
        <v>1879</v>
      </c>
      <c r="C791" s="3" t="s">
        <v>88</v>
      </c>
      <c r="D791" s="3" t="s">
        <v>1887</v>
      </c>
      <c r="E791" s="3" t="s">
        <v>1888</v>
      </c>
      <c r="F791" t="e">
        <f>_xlfn.XLOOKUP(A791,[1]邦达数据库!$A:$A,[1]邦达数据库!$C:$C)</f>
        <v>#N/A</v>
      </c>
    </row>
    <row r="792" ht="30" customHeight="1" spans="1:6">
      <c r="A792" s="4" t="s">
        <v>1893</v>
      </c>
      <c r="B792" s="5" t="s">
        <v>1879</v>
      </c>
      <c r="C792" s="5" t="s">
        <v>88</v>
      </c>
      <c r="D792" s="5" t="s">
        <v>1887</v>
      </c>
      <c r="E792" s="5" t="s">
        <v>1888</v>
      </c>
      <c r="F792" t="e">
        <f>_xlfn.XLOOKUP(A792,[1]邦达数据库!$A:$A,[1]邦达数据库!$C:$C)</f>
        <v>#N/A</v>
      </c>
    </row>
    <row r="793" ht="30" customHeight="1" spans="1:6">
      <c r="A793" s="2" t="s">
        <v>1894</v>
      </c>
      <c r="B793" s="3" t="s">
        <v>1879</v>
      </c>
      <c r="C793" s="3" t="s">
        <v>88</v>
      </c>
      <c r="D793" s="3" t="s">
        <v>1895</v>
      </c>
      <c r="E793" s="3" t="s">
        <v>1896</v>
      </c>
      <c r="F793" t="e">
        <f>_xlfn.XLOOKUP(A793,[1]邦达数据库!$A:$A,[1]邦达数据库!$C:$C)</f>
        <v>#N/A</v>
      </c>
    </row>
    <row r="794" ht="30" customHeight="1" spans="1:6">
      <c r="A794" s="4" t="s">
        <v>1897</v>
      </c>
      <c r="B794" s="5" t="s">
        <v>1879</v>
      </c>
      <c r="C794" s="5" t="s">
        <v>88</v>
      </c>
      <c r="D794" s="5" t="s">
        <v>935</v>
      </c>
      <c r="E794" s="5" t="s">
        <v>936</v>
      </c>
      <c r="F794" t="e">
        <f>_xlfn.XLOOKUP(A794,[1]邦达数据库!$A:$A,[1]邦达数据库!$C:$C)</f>
        <v>#N/A</v>
      </c>
    </row>
    <row r="795" ht="30" customHeight="1" spans="1:6">
      <c r="A795" s="2" t="s">
        <v>1898</v>
      </c>
      <c r="B795" s="3" t="s">
        <v>1879</v>
      </c>
      <c r="C795" s="3" t="s">
        <v>88</v>
      </c>
      <c r="D795" s="3" t="s">
        <v>1899</v>
      </c>
      <c r="E795" s="3" t="s">
        <v>1900</v>
      </c>
      <c r="F795" t="e">
        <f>_xlfn.XLOOKUP(A795,[1]邦达数据库!$A:$A,[1]邦达数据库!$C:$C)</f>
        <v>#N/A</v>
      </c>
    </row>
    <row r="796" ht="30" customHeight="1" spans="1:6">
      <c r="A796" s="4" t="s">
        <v>1901</v>
      </c>
      <c r="B796" s="5" t="s">
        <v>1902</v>
      </c>
      <c r="C796" s="5" t="s">
        <v>1398</v>
      </c>
      <c r="D796" s="5" t="s">
        <v>815</v>
      </c>
      <c r="E796" s="5" t="s">
        <v>816</v>
      </c>
      <c r="F796" t="e">
        <f>_xlfn.XLOOKUP(A796,[1]邦达数据库!$A:$A,[1]邦达数据库!$C:$C)</f>
        <v>#N/A</v>
      </c>
    </row>
    <row r="797" ht="30" customHeight="1" spans="1:6">
      <c r="A797" s="2" t="s">
        <v>1903</v>
      </c>
      <c r="B797" s="3" t="s">
        <v>1902</v>
      </c>
      <c r="C797" s="3" t="s">
        <v>1398</v>
      </c>
      <c r="D797" s="3" t="s">
        <v>1904</v>
      </c>
      <c r="E797" s="3" t="s">
        <v>1905</v>
      </c>
      <c r="F797" t="e">
        <f>_xlfn.XLOOKUP(A797,[1]邦达数据库!$A:$A,[1]邦达数据库!$C:$C)</f>
        <v>#N/A</v>
      </c>
    </row>
    <row r="798" ht="30" customHeight="1" spans="1:6">
      <c r="A798" s="4" t="s">
        <v>1906</v>
      </c>
      <c r="B798" s="5" t="s">
        <v>209</v>
      </c>
      <c r="C798" s="5" t="s">
        <v>210</v>
      </c>
      <c r="D798" s="5" t="s">
        <v>1907</v>
      </c>
      <c r="E798" s="5" t="s">
        <v>1908</v>
      </c>
      <c r="F798" t="e">
        <f>_xlfn.XLOOKUP(A798,[1]邦达数据库!$A:$A,[1]邦达数据库!$C:$C)</f>
        <v>#N/A</v>
      </c>
    </row>
    <row r="799" ht="30" customHeight="1" spans="1:6">
      <c r="A799" s="2" t="s">
        <v>1909</v>
      </c>
      <c r="B799" s="3" t="s">
        <v>1910</v>
      </c>
      <c r="C799" s="3" t="s">
        <v>210</v>
      </c>
      <c r="D799" s="3" t="s">
        <v>499</v>
      </c>
      <c r="E799" s="3" t="s">
        <v>500</v>
      </c>
      <c r="F799" t="e">
        <f>_xlfn.XLOOKUP(A799,[1]邦达数据库!$A:$A,[1]邦达数据库!$C:$C)</f>
        <v>#N/A</v>
      </c>
    </row>
    <row r="800" ht="30" customHeight="1" spans="1:6">
      <c r="A800" s="4" t="s">
        <v>1911</v>
      </c>
      <c r="B800" s="5" t="s">
        <v>1910</v>
      </c>
      <c r="C800" s="5" t="s">
        <v>210</v>
      </c>
      <c r="D800" s="5" t="s">
        <v>687</v>
      </c>
      <c r="E800" s="5" t="s">
        <v>688</v>
      </c>
      <c r="F800" t="e">
        <f>_xlfn.XLOOKUP(A800,[1]邦达数据库!$A:$A,[1]邦达数据库!$C:$C)</f>
        <v>#N/A</v>
      </c>
    </row>
    <row r="801" ht="30" customHeight="1" spans="1:6">
      <c r="A801" s="2" t="s">
        <v>1912</v>
      </c>
      <c r="B801" s="3" t="s">
        <v>1913</v>
      </c>
      <c r="C801" s="3" t="s">
        <v>1914</v>
      </c>
      <c r="D801" s="3" t="s">
        <v>1915</v>
      </c>
      <c r="E801" s="3" t="s">
        <v>1916</v>
      </c>
      <c r="F801" t="e">
        <f>_xlfn.XLOOKUP(A801,[1]邦达数据库!$A:$A,[1]邦达数据库!$C:$C)</f>
        <v>#N/A</v>
      </c>
    </row>
    <row r="802" ht="30" customHeight="1" spans="1:6">
      <c r="A802" s="4" t="s">
        <v>1917</v>
      </c>
      <c r="B802" s="5" t="s">
        <v>1913</v>
      </c>
      <c r="C802" s="5" t="s">
        <v>1914</v>
      </c>
      <c r="D802" s="5" t="s">
        <v>1201</v>
      </c>
      <c r="E802" s="5" t="s">
        <v>1202</v>
      </c>
      <c r="F802" t="e">
        <f>_xlfn.XLOOKUP(A802,[1]邦达数据库!$A:$A,[1]邦达数据库!$C:$C)</f>
        <v>#N/A</v>
      </c>
    </row>
    <row r="803" ht="30" customHeight="1" spans="1:6">
      <c r="A803" s="2" t="s">
        <v>1918</v>
      </c>
      <c r="B803" s="3" t="s">
        <v>1919</v>
      </c>
      <c r="C803" s="3" t="s">
        <v>1631</v>
      </c>
      <c r="D803" s="3" t="s">
        <v>1920</v>
      </c>
      <c r="E803" s="3" t="s">
        <v>1921</v>
      </c>
      <c r="F803" t="str">
        <f>_xlfn.XLOOKUP(A803,[1]邦达数据库!$A:$A,[1]邦达数据库!$C:$C)</f>
        <v>8421.19.2000</v>
      </c>
    </row>
    <row r="804" ht="30" customHeight="1" spans="1:6">
      <c r="A804" s="4" t="s">
        <v>1922</v>
      </c>
      <c r="B804" s="5" t="s">
        <v>1923</v>
      </c>
      <c r="C804" s="5" t="s">
        <v>1924</v>
      </c>
      <c r="D804" s="5" t="s">
        <v>1052</v>
      </c>
      <c r="E804" s="5" t="s">
        <v>1053</v>
      </c>
      <c r="F804" t="e">
        <f>_xlfn.XLOOKUP(A804,[1]邦达数据库!$A:$A,[1]邦达数据库!$C:$C)</f>
        <v>#N/A</v>
      </c>
    </row>
    <row r="805" ht="30" customHeight="1" spans="1:6">
      <c r="A805" s="2" t="s">
        <v>1925</v>
      </c>
      <c r="B805" s="3" t="s">
        <v>1926</v>
      </c>
      <c r="C805" s="3" t="s">
        <v>1927</v>
      </c>
      <c r="D805" s="3" t="s">
        <v>33</v>
      </c>
      <c r="E805" s="3" t="s">
        <v>34</v>
      </c>
      <c r="F805" t="e">
        <f>_xlfn.XLOOKUP(A805,[1]邦达数据库!$A:$A,[1]邦达数据库!$C:$C)</f>
        <v>#N/A</v>
      </c>
    </row>
    <row r="806" ht="30" customHeight="1" spans="1:6">
      <c r="A806" s="4" t="s">
        <v>1928</v>
      </c>
      <c r="B806" s="5" t="s">
        <v>1926</v>
      </c>
      <c r="C806" s="5" t="s">
        <v>1927</v>
      </c>
      <c r="D806" s="5" t="s">
        <v>33</v>
      </c>
      <c r="E806" s="5" t="s">
        <v>34</v>
      </c>
      <c r="F806" t="e">
        <f>_xlfn.XLOOKUP(A806,[1]邦达数据库!$A:$A,[1]邦达数据库!$C:$C)</f>
        <v>#N/A</v>
      </c>
    </row>
    <row r="807" ht="30" customHeight="1" spans="1:6">
      <c r="A807" s="2" t="s">
        <v>1929</v>
      </c>
      <c r="B807" s="3" t="s">
        <v>1930</v>
      </c>
      <c r="C807" s="3" t="s">
        <v>1931</v>
      </c>
      <c r="D807" s="3" t="s">
        <v>1932</v>
      </c>
      <c r="E807" s="3" t="s">
        <v>1933</v>
      </c>
      <c r="F807" t="e">
        <f>_xlfn.XLOOKUP(A807,[1]邦达数据库!$A:$A,[1]邦达数据库!$C:$C)</f>
        <v>#N/A</v>
      </c>
    </row>
    <row r="808" ht="30" customHeight="1" spans="1:6">
      <c r="A808" s="4" t="s">
        <v>1934</v>
      </c>
      <c r="B808" s="5" t="s">
        <v>1930</v>
      </c>
      <c r="C808" s="5" t="s">
        <v>1931</v>
      </c>
      <c r="D808" s="5" t="s">
        <v>1932</v>
      </c>
      <c r="E808" s="5" t="s">
        <v>1933</v>
      </c>
      <c r="F808" t="e">
        <f>_xlfn.XLOOKUP(A808,[1]邦达数据库!$A:$A,[1]邦达数据库!$C:$C)</f>
        <v>#N/A</v>
      </c>
    </row>
    <row r="809" ht="30" customHeight="1" spans="1:6">
      <c r="A809" s="2" t="s">
        <v>1935</v>
      </c>
      <c r="B809" s="3" t="s">
        <v>1936</v>
      </c>
      <c r="C809" s="3" t="s">
        <v>1467</v>
      </c>
      <c r="D809" s="3" t="s">
        <v>1285</v>
      </c>
      <c r="E809" s="3" t="s">
        <v>1286</v>
      </c>
      <c r="F809" t="e">
        <f>_xlfn.XLOOKUP(A809,[1]邦达数据库!$A:$A,[1]邦达数据库!$C:$C)</f>
        <v>#N/A</v>
      </c>
    </row>
    <row r="810" ht="30" customHeight="1" spans="1:6">
      <c r="A810" s="4" t="s">
        <v>1937</v>
      </c>
      <c r="B810" s="5" t="s">
        <v>1938</v>
      </c>
      <c r="C810" s="5" t="s">
        <v>1289</v>
      </c>
      <c r="D810" s="5" t="s">
        <v>104</v>
      </c>
      <c r="E810" s="5" t="s">
        <v>105</v>
      </c>
      <c r="F810" t="e">
        <f>_xlfn.XLOOKUP(A810,[1]邦达数据库!$A:$A,[1]邦达数据库!$C:$C)</f>
        <v>#N/A</v>
      </c>
    </row>
    <row r="811" ht="30" customHeight="1" spans="1:6">
      <c r="A811" s="2" t="s">
        <v>1939</v>
      </c>
      <c r="B811" s="3" t="s">
        <v>1940</v>
      </c>
      <c r="C811" s="3" t="s">
        <v>1941</v>
      </c>
      <c r="D811" s="3" t="s">
        <v>1110</v>
      </c>
      <c r="E811" s="3" t="s">
        <v>1111</v>
      </c>
      <c r="F811" t="e">
        <f>_xlfn.XLOOKUP(A811,[1]邦达数据库!$A:$A,[1]邦达数据库!$C:$C)</f>
        <v>#N/A</v>
      </c>
    </row>
    <row r="812" ht="30" customHeight="1" spans="1:6">
      <c r="A812" s="4" t="s">
        <v>1942</v>
      </c>
      <c r="B812" s="5" t="s">
        <v>1943</v>
      </c>
      <c r="C812" s="5" t="s">
        <v>265</v>
      </c>
      <c r="D812" s="5" t="s">
        <v>99</v>
      </c>
      <c r="E812" s="5" t="s">
        <v>100</v>
      </c>
      <c r="F812" t="e">
        <f>_xlfn.XLOOKUP(A812,[1]邦达数据库!$A:$A,[1]邦达数据库!$C:$C)</f>
        <v>#N/A</v>
      </c>
    </row>
    <row r="813" ht="30" customHeight="1" spans="1:6">
      <c r="A813" s="2" t="s">
        <v>1944</v>
      </c>
      <c r="B813" s="3" t="s">
        <v>1945</v>
      </c>
      <c r="C813" s="3" t="s">
        <v>1946</v>
      </c>
      <c r="D813" s="3" t="s">
        <v>223</v>
      </c>
      <c r="E813" s="3" t="s">
        <v>224</v>
      </c>
      <c r="F813" t="e">
        <f>_xlfn.XLOOKUP(A813,[1]邦达数据库!$A:$A,[1]邦达数据库!$C:$C)</f>
        <v>#N/A</v>
      </c>
    </row>
    <row r="814" ht="30" customHeight="1" spans="1:6">
      <c r="A814" s="4" t="s">
        <v>1947</v>
      </c>
      <c r="B814" s="5" t="s">
        <v>1945</v>
      </c>
      <c r="C814" s="5" t="s">
        <v>1946</v>
      </c>
      <c r="D814" s="5" t="s">
        <v>223</v>
      </c>
      <c r="E814" s="5" t="s">
        <v>224</v>
      </c>
      <c r="F814" t="e">
        <f>_xlfn.XLOOKUP(A814,[1]邦达数据库!$A:$A,[1]邦达数据库!$C:$C)</f>
        <v>#N/A</v>
      </c>
    </row>
    <row r="815" ht="30" customHeight="1" spans="1:6">
      <c r="A815" s="4" t="s">
        <v>1948</v>
      </c>
      <c r="B815" s="5" t="s">
        <v>1949</v>
      </c>
      <c r="C815" s="5" t="s">
        <v>1950</v>
      </c>
      <c r="D815" s="5" t="s">
        <v>1201</v>
      </c>
      <c r="E815" s="5" t="s">
        <v>1202</v>
      </c>
      <c r="F815" t="e">
        <f>_xlfn.XLOOKUP(A815,[1]邦达数据库!$A:$A,[1]邦达数据库!$C:$C)</f>
        <v>#N/A</v>
      </c>
    </row>
    <row r="816" ht="30" customHeight="1" spans="1:6">
      <c r="A816" s="2" t="s">
        <v>1951</v>
      </c>
      <c r="B816" s="3" t="s">
        <v>1952</v>
      </c>
      <c r="C816" s="3" t="s">
        <v>962</v>
      </c>
      <c r="D816" s="3" t="s">
        <v>1201</v>
      </c>
      <c r="E816" s="3" t="s">
        <v>1202</v>
      </c>
      <c r="F816" t="e">
        <f>_xlfn.XLOOKUP(A816,[1]邦达数据库!$A:$A,[1]邦达数据库!$C:$C)</f>
        <v>#N/A</v>
      </c>
    </row>
    <row r="817" ht="30" customHeight="1" spans="1:6">
      <c r="A817" s="4" t="s">
        <v>1953</v>
      </c>
      <c r="B817" s="5" t="s">
        <v>1949</v>
      </c>
      <c r="C817" s="5" t="s">
        <v>1950</v>
      </c>
      <c r="D817" s="5" t="s">
        <v>1201</v>
      </c>
      <c r="E817" s="5" t="s">
        <v>1202</v>
      </c>
      <c r="F817" t="e">
        <f>_xlfn.XLOOKUP(A817,[1]邦达数据库!$A:$A,[1]邦达数据库!$C:$C)</f>
        <v>#N/A</v>
      </c>
    </row>
    <row r="818" ht="30" customHeight="1" spans="1:6">
      <c r="A818" s="2" t="s">
        <v>1954</v>
      </c>
      <c r="B818" s="3" t="s">
        <v>1949</v>
      </c>
      <c r="C818" s="3" t="s">
        <v>1950</v>
      </c>
      <c r="D818" s="3" t="s">
        <v>1201</v>
      </c>
      <c r="E818" s="3" t="s">
        <v>1202</v>
      </c>
      <c r="F818" t="e">
        <f>_xlfn.XLOOKUP(A818,[1]邦达数据库!$A:$A,[1]邦达数据库!$C:$C)</f>
        <v>#N/A</v>
      </c>
    </row>
    <row r="819" ht="30" customHeight="1" spans="1:6">
      <c r="A819" s="4" t="s">
        <v>1955</v>
      </c>
      <c r="B819" s="5" t="s">
        <v>1956</v>
      </c>
      <c r="C819" s="5" t="s">
        <v>335</v>
      </c>
      <c r="D819" s="5" t="s">
        <v>568</v>
      </c>
      <c r="E819" s="5" t="s">
        <v>569</v>
      </c>
      <c r="F819" t="e">
        <f>_xlfn.XLOOKUP(A819,[1]邦达数据库!$A:$A,[1]邦达数据库!$C:$C)</f>
        <v>#N/A</v>
      </c>
    </row>
    <row r="820" ht="30" customHeight="1" spans="1:6">
      <c r="A820" s="2" t="s">
        <v>1957</v>
      </c>
      <c r="B820" s="3" t="s">
        <v>1958</v>
      </c>
      <c r="C820" s="3" t="s">
        <v>1959</v>
      </c>
      <c r="D820" s="3" t="s">
        <v>104</v>
      </c>
      <c r="E820" s="3" t="s">
        <v>105</v>
      </c>
      <c r="F820" t="e">
        <f>_xlfn.XLOOKUP(A820,[1]邦达数据库!$A:$A,[1]邦达数据库!$C:$C)</f>
        <v>#N/A</v>
      </c>
    </row>
    <row r="821" ht="30" customHeight="1" spans="1:6">
      <c r="A821" s="4" t="s">
        <v>1960</v>
      </c>
      <c r="B821" s="5" t="s">
        <v>1961</v>
      </c>
      <c r="C821" s="5" t="s">
        <v>1962</v>
      </c>
      <c r="D821" s="5" t="s">
        <v>104</v>
      </c>
      <c r="E821" s="5" t="s">
        <v>105</v>
      </c>
      <c r="F821" t="e">
        <f>_xlfn.XLOOKUP(A821,[1]邦达数据库!$A:$A,[1]邦达数据库!$C:$C)</f>
        <v>#N/A</v>
      </c>
    </row>
    <row r="822" ht="30" customHeight="1" spans="1:6">
      <c r="A822" s="2" t="s">
        <v>1963</v>
      </c>
      <c r="B822" s="3" t="s">
        <v>1964</v>
      </c>
      <c r="C822" s="3" t="s">
        <v>1965</v>
      </c>
      <c r="D822" s="3" t="s">
        <v>1966</v>
      </c>
      <c r="E822" s="3" t="s">
        <v>1967</v>
      </c>
      <c r="F822" t="e">
        <f>_xlfn.XLOOKUP(A822,[1]邦达数据库!$A:$A,[1]邦达数据库!$C:$C)</f>
        <v>#N/A</v>
      </c>
    </row>
    <row r="823" ht="30" customHeight="1" spans="1:6">
      <c r="A823" s="4" t="s">
        <v>1968</v>
      </c>
      <c r="B823" s="5" t="s">
        <v>1964</v>
      </c>
      <c r="C823" s="5" t="s">
        <v>1965</v>
      </c>
      <c r="D823" s="5" t="s">
        <v>1969</v>
      </c>
      <c r="E823" s="5" t="s">
        <v>1970</v>
      </c>
      <c r="F823" t="e">
        <f>_xlfn.XLOOKUP(A823,[1]邦达数据库!$A:$A,[1]邦达数据库!$C:$C)</f>
        <v>#N/A</v>
      </c>
    </row>
    <row r="824" ht="30" customHeight="1" spans="1:6">
      <c r="A824" s="2" t="s">
        <v>1971</v>
      </c>
      <c r="B824" s="3" t="s">
        <v>1964</v>
      </c>
      <c r="C824" s="3" t="s">
        <v>1965</v>
      </c>
      <c r="D824" s="3" t="s">
        <v>1969</v>
      </c>
      <c r="E824" s="3" t="s">
        <v>1970</v>
      </c>
      <c r="F824" t="e">
        <f>_xlfn.XLOOKUP(A824,[1]邦达数据库!$A:$A,[1]邦达数据库!$C:$C)</f>
        <v>#N/A</v>
      </c>
    </row>
    <row r="825" ht="30" customHeight="1" spans="1:6">
      <c r="A825" s="4" t="s">
        <v>1972</v>
      </c>
      <c r="B825" s="5" t="s">
        <v>1964</v>
      </c>
      <c r="C825" s="5" t="s">
        <v>318</v>
      </c>
      <c r="D825" s="5" t="s">
        <v>1522</v>
      </c>
      <c r="E825" s="5" t="s">
        <v>1523</v>
      </c>
      <c r="F825" t="e">
        <f>_xlfn.XLOOKUP(A825,[1]邦达数据库!$A:$A,[1]邦达数据库!$C:$C)</f>
        <v>#N/A</v>
      </c>
    </row>
    <row r="826" ht="30" customHeight="1" spans="1:6">
      <c r="A826" s="2" t="s">
        <v>1973</v>
      </c>
      <c r="B826" s="3" t="s">
        <v>1964</v>
      </c>
      <c r="C826" s="3" t="s">
        <v>1965</v>
      </c>
      <c r="D826" s="3" t="s">
        <v>1969</v>
      </c>
      <c r="E826" s="3" t="s">
        <v>1970</v>
      </c>
      <c r="F826" t="e">
        <f>_xlfn.XLOOKUP(A826,[1]邦达数据库!$A:$A,[1]邦达数据库!$C:$C)</f>
        <v>#N/A</v>
      </c>
    </row>
    <row r="827" ht="30" customHeight="1" spans="1:6">
      <c r="A827" s="4" t="s">
        <v>1974</v>
      </c>
      <c r="B827" s="5" t="s">
        <v>1964</v>
      </c>
      <c r="C827" s="5" t="s">
        <v>827</v>
      </c>
      <c r="D827" s="5" t="s">
        <v>1975</v>
      </c>
      <c r="E827" s="5" t="s">
        <v>1976</v>
      </c>
      <c r="F827" t="e">
        <f>_xlfn.XLOOKUP(A827,[1]邦达数据库!$A:$A,[1]邦达数据库!$C:$C)</f>
        <v>#N/A</v>
      </c>
    </row>
    <row r="828" ht="30" customHeight="1" spans="1:6">
      <c r="A828" s="2" t="s">
        <v>1977</v>
      </c>
      <c r="B828" s="3" t="s">
        <v>1978</v>
      </c>
      <c r="C828" s="3" t="s">
        <v>1979</v>
      </c>
      <c r="D828" s="3" t="s">
        <v>1915</v>
      </c>
      <c r="E828" s="3" t="s">
        <v>1916</v>
      </c>
      <c r="F828" t="e">
        <f>_xlfn.XLOOKUP(A828,[1]邦达数据库!$A:$A,[1]邦达数据库!$C:$C)</f>
        <v>#N/A</v>
      </c>
    </row>
    <row r="829" ht="30" customHeight="1" spans="1:6">
      <c r="A829" s="4" t="s">
        <v>1980</v>
      </c>
      <c r="B829" s="5" t="s">
        <v>1978</v>
      </c>
      <c r="C829" s="5" t="s">
        <v>1979</v>
      </c>
      <c r="D829" s="5" t="s">
        <v>1915</v>
      </c>
      <c r="E829" s="5" t="s">
        <v>1916</v>
      </c>
      <c r="F829" t="e">
        <f>_xlfn.XLOOKUP(A829,[1]邦达数据库!$A:$A,[1]邦达数据库!$C:$C)</f>
        <v>#N/A</v>
      </c>
    </row>
    <row r="830" ht="30" customHeight="1" spans="1:6">
      <c r="A830" s="2" t="s">
        <v>1981</v>
      </c>
      <c r="B830" s="3" t="s">
        <v>1978</v>
      </c>
      <c r="C830" s="3" t="s">
        <v>1979</v>
      </c>
      <c r="D830" s="3" t="s">
        <v>79</v>
      </c>
      <c r="E830" s="3" t="s">
        <v>80</v>
      </c>
      <c r="F830" t="e">
        <f>_xlfn.XLOOKUP(A830,[1]邦达数据库!$A:$A,[1]邦达数据库!$C:$C)</f>
        <v>#N/A</v>
      </c>
    </row>
    <row r="831" ht="30" customHeight="1" spans="1:6">
      <c r="A831" s="4" t="s">
        <v>1982</v>
      </c>
      <c r="B831" s="5" t="s">
        <v>1978</v>
      </c>
      <c r="C831" s="5" t="s">
        <v>1979</v>
      </c>
      <c r="D831" s="5" t="s">
        <v>79</v>
      </c>
      <c r="E831" s="5" t="s">
        <v>80</v>
      </c>
      <c r="F831" t="e">
        <f>_xlfn.XLOOKUP(A831,[1]邦达数据库!$A:$A,[1]邦达数据库!$C:$C)</f>
        <v>#N/A</v>
      </c>
    </row>
    <row r="832" ht="30" customHeight="1" spans="1:6">
      <c r="A832" s="2" t="s">
        <v>1983</v>
      </c>
      <c r="B832" s="3" t="s">
        <v>1978</v>
      </c>
      <c r="C832" s="3" t="s">
        <v>1979</v>
      </c>
      <c r="D832" s="3" t="s">
        <v>1915</v>
      </c>
      <c r="E832" s="3" t="s">
        <v>1916</v>
      </c>
      <c r="F832" t="e">
        <f>_xlfn.XLOOKUP(A832,[1]邦达数据库!$A:$A,[1]邦达数据库!$C:$C)</f>
        <v>#N/A</v>
      </c>
    </row>
    <row r="833" ht="30" customHeight="1" spans="1:6">
      <c r="A833" s="4" t="s">
        <v>1984</v>
      </c>
      <c r="B833" s="5" t="s">
        <v>1978</v>
      </c>
      <c r="C833" s="5" t="s">
        <v>1979</v>
      </c>
      <c r="D833" s="5" t="s">
        <v>1915</v>
      </c>
      <c r="E833" s="5" t="s">
        <v>1916</v>
      </c>
      <c r="F833" t="e">
        <f>_xlfn.XLOOKUP(A833,[1]邦达数据库!$A:$A,[1]邦达数据库!$C:$C)</f>
        <v>#N/A</v>
      </c>
    </row>
    <row r="834" ht="30" customHeight="1" spans="1:6">
      <c r="A834" s="2" t="s">
        <v>1985</v>
      </c>
      <c r="B834" s="3" t="s">
        <v>1978</v>
      </c>
      <c r="C834" s="3" t="s">
        <v>1979</v>
      </c>
      <c r="D834" s="3" t="s">
        <v>1915</v>
      </c>
      <c r="E834" s="3" t="s">
        <v>1916</v>
      </c>
      <c r="F834" t="e">
        <f>_xlfn.XLOOKUP(A834,[1]邦达数据库!$A:$A,[1]邦达数据库!$C:$C)</f>
        <v>#N/A</v>
      </c>
    </row>
    <row r="835" ht="30" customHeight="1" spans="1:6">
      <c r="A835" s="4" t="s">
        <v>1986</v>
      </c>
      <c r="B835" s="5" t="s">
        <v>1978</v>
      </c>
      <c r="C835" s="5" t="s">
        <v>1987</v>
      </c>
      <c r="D835" s="5" t="s">
        <v>1522</v>
      </c>
      <c r="E835" s="5" t="s">
        <v>1523</v>
      </c>
      <c r="F835" t="e">
        <f>_xlfn.XLOOKUP(A835,[1]邦达数据库!$A:$A,[1]邦达数据库!$C:$C)</f>
        <v>#N/A</v>
      </c>
    </row>
    <row r="836" ht="30" customHeight="1" spans="1:6">
      <c r="A836" s="2" t="s">
        <v>1988</v>
      </c>
      <c r="B836" s="3" t="s">
        <v>1978</v>
      </c>
      <c r="C836" s="3" t="s">
        <v>1987</v>
      </c>
      <c r="D836" s="3" t="s">
        <v>1522</v>
      </c>
      <c r="E836" s="3" t="s">
        <v>1523</v>
      </c>
      <c r="F836" t="e">
        <f>_xlfn.XLOOKUP(A836,[1]邦达数据库!$A:$A,[1]邦达数据库!$C:$C)</f>
        <v>#N/A</v>
      </c>
    </row>
    <row r="837" ht="30" customHeight="1" spans="1:6">
      <c r="A837" s="4" t="s">
        <v>1989</v>
      </c>
      <c r="B837" s="5" t="s">
        <v>1978</v>
      </c>
      <c r="C837" s="5" t="s">
        <v>1987</v>
      </c>
      <c r="D837" s="5" t="s">
        <v>1522</v>
      </c>
      <c r="E837" s="5" t="s">
        <v>1523</v>
      </c>
      <c r="F837" t="e">
        <f>_xlfn.XLOOKUP(A837,[1]邦达数据库!$A:$A,[1]邦达数据库!$C:$C)</f>
        <v>#N/A</v>
      </c>
    </row>
    <row r="838" ht="30" customHeight="1" spans="1:6">
      <c r="A838" s="2" t="s">
        <v>1990</v>
      </c>
      <c r="B838" s="3" t="s">
        <v>1978</v>
      </c>
      <c r="C838" s="3" t="s">
        <v>1987</v>
      </c>
      <c r="D838" s="3" t="s">
        <v>1522</v>
      </c>
      <c r="E838" s="3" t="s">
        <v>1523</v>
      </c>
      <c r="F838" t="e">
        <f>_xlfn.XLOOKUP(A838,[1]邦达数据库!$A:$A,[1]邦达数据库!$C:$C)</f>
        <v>#N/A</v>
      </c>
    </row>
    <row r="839" ht="30" customHeight="1" spans="1:6">
      <c r="A839" s="4" t="s">
        <v>1991</v>
      </c>
      <c r="B839" s="5" t="s">
        <v>1978</v>
      </c>
      <c r="C839" s="5" t="s">
        <v>1987</v>
      </c>
      <c r="D839" s="5" t="s">
        <v>1522</v>
      </c>
      <c r="E839" s="5" t="s">
        <v>1523</v>
      </c>
      <c r="F839" t="e">
        <f>_xlfn.XLOOKUP(A839,[1]邦达数据库!$A:$A,[1]邦达数据库!$C:$C)</f>
        <v>#N/A</v>
      </c>
    </row>
    <row r="840" ht="30" customHeight="1" spans="1:6">
      <c r="A840" s="2" t="s">
        <v>1992</v>
      </c>
      <c r="B840" s="3" t="s">
        <v>1978</v>
      </c>
      <c r="C840" s="3" t="s">
        <v>1987</v>
      </c>
      <c r="D840" s="3" t="s">
        <v>1522</v>
      </c>
      <c r="E840" s="3" t="s">
        <v>1523</v>
      </c>
      <c r="F840" t="e">
        <f>_xlfn.XLOOKUP(A840,[1]邦达数据库!$A:$A,[1]邦达数据库!$C:$C)</f>
        <v>#N/A</v>
      </c>
    </row>
    <row r="841" ht="30" customHeight="1" spans="1:6">
      <c r="A841" s="4" t="s">
        <v>1993</v>
      </c>
      <c r="B841" s="5" t="s">
        <v>1978</v>
      </c>
      <c r="C841" s="5" t="s">
        <v>1987</v>
      </c>
      <c r="D841" s="5" t="s">
        <v>1522</v>
      </c>
      <c r="E841" s="5" t="s">
        <v>1523</v>
      </c>
      <c r="F841" t="e">
        <f>_xlfn.XLOOKUP(A841,[1]邦达数据库!$A:$A,[1]邦达数据库!$C:$C)</f>
        <v>#N/A</v>
      </c>
    </row>
    <row r="842" ht="30" customHeight="1" spans="1:6">
      <c r="A842" s="2" t="s">
        <v>1994</v>
      </c>
      <c r="B842" s="3" t="s">
        <v>1978</v>
      </c>
      <c r="C842" s="3" t="s">
        <v>1987</v>
      </c>
      <c r="D842" s="3" t="s">
        <v>1522</v>
      </c>
      <c r="E842" s="3" t="s">
        <v>1523</v>
      </c>
      <c r="F842" t="e">
        <f>_xlfn.XLOOKUP(A842,[1]邦达数据库!$A:$A,[1]邦达数据库!$C:$C)</f>
        <v>#N/A</v>
      </c>
    </row>
    <row r="843" ht="30" customHeight="1" spans="1:6">
      <c r="A843" s="4" t="s">
        <v>1995</v>
      </c>
      <c r="B843" s="5" t="s">
        <v>1978</v>
      </c>
      <c r="C843" s="5" t="s">
        <v>1987</v>
      </c>
      <c r="D843" s="5" t="s">
        <v>1522</v>
      </c>
      <c r="E843" s="5" t="s">
        <v>1523</v>
      </c>
      <c r="F843" t="e">
        <f>_xlfn.XLOOKUP(A843,[1]邦达数据库!$A:$A,[1]邦达数据库!$C:$C)</f>
        <v>#N/A</v>
      </c>
    </row>
    <row r="844" ht="30" customHeight="1" spans="1:6">
      <c r="A844" s="2" t="s">
        <v>1996</v>
      </c>
      <c r="B844" s="3" t="s">
        <v>1997</v>
      </c>
      <c r="C844" s="3" t="s">
        <v>98</v>
      </c>
      <c r="D844" s="3" t="s">
        <v>521</v>
      </c>
      <c r="E844" s="3" t="s">
        <v>522</v>
      </c>
      <c r="F844" t="e">
        <f>_xlfn.XLOOKUP(A844,[1]邦达数据库!$A:$A,[1]邦达数据库!$C:$C)</f>
        <v>#N/A</v>
      </c>
    </row>
    <row r="845" ht="30" customHeight="1" spans="1:6">
      <c r="A845" s="4" t="s">
        <v>1998</v>
      </c>
      <c r="B845" s="5" t="s">
        <v>1585</v>
      </c>
      <c r="C845" s="5" t="s">
        <v>1999</v>
      </c>
      <c r="D845" s="5" t="s">
        <v>2000</v>
      </c>
      <c r="E845" s="5" t="s">
        <v>2001</v>
      </c>
      <c r="F845" t="e">
        <f>_xlfn.XLOOKUP(A845,[1]邦达数据库!$A:$A,[1]邦达数据库!$C:$C)</f>
        <v>#N/A</v>
      </c>
    </row>
    <row r="846" ht="30" customHeight="1" spans="1:6">
      <c r="A846" s="2" t="s">
        <v>2002</v>
      </c>
      <c r="B846" s="3" t="s">
        <v>2003</v>
      </c>
      <c r="C846" s="3" t="s">
        <v>72</v>
      </c>
      <c r="D846" s="3" t="s">
        <v>1285</v>
      </c>
      <c r="E846" s="3" t="s">
        <v>1286</v>
      </c>
      <c r="F846" t="e">
        <f>_xlfn.XLOOKUP(A846,[1]邦达数据库!$A:$A,[1]邦达数据库!$C:$C)</f>
        <v>#N/A</v>
      </c>
    </row>
    <row r="847" ht="30" customHeight="1" spans="1:6">
      <c r="A847" s="4" t="s">
        <v>2004</v>
      </c>
      <c r="B847" s="5" t="s">
        <v>2003</v>
      </c>
      <c r="C847" s="5" t="s">
        <v>72</v>
      </c>
      <c r="D847" s="5" t="s">
        <v>1285</v>
      </c>
      <c r="E847" s="5" t="s">
        <v>1286</v>
      </c>
      <c r="F847" t="e">
        <f>_xlfn.XLOOKUP(A847,[1]邦达数据库!$A:$A,[1]邦达数据库!$C:$C)</f>
        <v>#N/A</v>
      </c>
    </row>
    <row r="848" ht="30" customHeight="1" spans="1:6">
      <c r="A848" s="2" t="s">
        <v>2005</v>
      </c>
      <c r="B848" s="3" t="s">
        <v>1663</v>
      </c>
      <c r="C848" s="3" t="s">
        <v>265</v>
      </c>
      <c r="D848" s="3" t="s">
        <v>301</v>
      </c>
      <c r="E848" s="3" t="s">
        <v>302</v>
      </c>
      <c r="F848" t="e">
        <f>_xlfn.XLOOKUP(A848,[1]邦达数据库!$A:$A,[1]邦达数据库!$C:$C)</f>
        <v>#N/A</v>
      </c>
    </row>
    <row r="849" ht="30" customHeight="1" spans="1:6">
      <c r="A849" s="4" t="s">
        <v>2006</v>
      </c>
      <c r="B849" s="5" t="s">
        <v>1663</v>
      </c>
      <c r="C849" s="5" t="s">
        <v>265</v>
      </c>
      <c r="D849" s="5" t="s">
        <v>301</v>
      </c>
      <c r="E849" s="5" t="s">
        <v>302</v>
      </c>
      <c r="F849" t="e">
        <f>_xlfn.XLOOKUP(A849,[1]邦达数据库!$A:$A,[1]邦达数据库!$C:$C)</f>
        <v>#N/A</v>
      </c>
    </row>
    <row r="850" ht="30" customHeight="1" spans="1:6">
      <c r="A850" s="2" t="s">
        <v>2007</v>
      </c>
      <c r="B850" s="3" t="s">
        <v>1663</v>
      </c>
      <c r="C850" s="3" t="s">
        <v>265</v>
      </c>
      <c r="D850" s="3" t="s">
        <v>2008</v>
      </c>
      <c r="E850" s="3" t="s">
        <v>2009</v>
      </c>
      <c r="F850" t="e">
        <f>_xlfn.XLOOKUP(A850,[1]邦达数据库!$A:$A,[1]邦达数据库!$C:$C)</f>
        <v>#N/A</v>
      </c>
    </row>
    <row r="851" ht="30" customHeight="1" spans="1:6">
      <c r="A851" s="4" t="s">
        <v>2010</v>
      </c>
      <c r="B851" s="5" t="s">
        <v>2011</v>
      </c>
      <c r="C851" s="5" t="s">
        <v>2012</v>
      </c>
      <c r="D851" s="5" t="s">
        <v>1356</v>
      </c>
      <c r="E851" s="5" t="s">
        <v>1357</v>
      </c>
      <c r="F851" t="e">
        <f>_xlfn.XLOOKUP(A851,[1]邦达数据库!$A:$A,[1]邦达数据库!$C:$C)</f>
        <v>#N/A</v>
      </c>
    </row>
    <row r="852" ht="30" customHeight="1" spans="1:6">
      <c r="A852" s="2" t="s">
        <v>2013</v>
      </c>
      <c r="B852" s="3" t="s">
        <v>2014</v>
      </c>
      <c r="C852" s="3" t="s">
        <v>1644</v>
      </c>
      <c r="D852" s="3" t="s">
        <v>149</v>
      </c>
      <c r="E852" s="3" t="s">
        <v>150</v>
      </c>
      <c r="F852" t="e">
        <f>_xlfn.XLOOKUP(A852,[1]邦达数据库!$A:$A,[1]邦达数据库!$C:$C)</f>
        <v>#N/A</v>
      </c>
    </row>
    <row r="853" ht="30" customHeight="1" spans="1:6">
      <c r="A853" s="4" t="s">
        <v>2015</v>
      </c>
      <c r="B853" s="5" t="s">
        <v>2014</v>
      </c>
      <c r="C853" s="5" t="s">
        <v>1644</v>
      </c>
      <c r="D853" s="5" t="s">
        <v>149</v>
      </c>
      <c r="E853" s="5" t="s">
        <v>150</v>
      </c>
      <c r="F853" t="e">
        <f>_xlfn.XLOOKUP(A853,[1]邦达数据库!$A:$A,[1]邦达数据库!$C:$C)</f>
        <v>#N/A</v>
      </c>
    </row>
    <row r="854" ht="30" customHeight="1" spans="1:6">
      <c r="A854" s="2" t="s">
        <v>2016</v>
      </c>
      <c r="B854" s="3" t="s">
        <v>2014</v>
      </c>
      <c r="C854" s="3" t="s">
        <v>1644</v>
      </c>
      <c r="D854" s="3" t="s">
        <v>149</v>
      </c>
      <c r="E854" s="3" t="s">
        <v>150</v>
      </c>
      <c r="F854" t="e">
        <f>_xlfn.XLOOKUP(A854,[1]邦达数据库!$A:$A,[1]邦达数据库!$C:$C)</f>
        <v>#N/A</v>
      </c>
    </row>
    <row r="855" ht="30" customHeight="1" spans="1:6">
      <c r="A855" s="4" t="s">
        <v>2017</v>
      </c>
      <c r="B855" s="5" t="s">
        <v>2014</v>
      </c>
      <c r="C855" s="5" t="s">
        <v>1644</v>
      </c>
      <c r="D855" s="5" t="s">
        <v>149</v>
      </c>
      <c r="E855" s="5" t="s">
        <v>150</v>
      </c>
      <c r="F855" t="e">
        <f>_xlfn.XLOOKUP(A855,[1]邦达数据库!$A:$A,[1]邦达数据库!$C:$C)</f>
        <v>#N/A</v>
      </c>
    </row>
    <row r="856" ht="30" customHeight="1" spans="1:6">
      <c r="A856" s="2" t="s">
        <v>2018</v>
      </c>
      <c r="B856" s="3" t="s">
        <v>2019</v>
      </c>
      <c r="C856" s="3" t="s">
        <v>1959</v>
      </c>
      <c r="D856" s="3" t="s">
        <v>711</v>
      </c>
      <c r="E856" s="3" t="s">
        <v>712</v>
      </c>
      <c r="F856" t="e">
        <f>_xlfn.XLOOKUP(A856,[1]邦达数据库!$A:$A,[1]邦达数据库!$C:$C)</f>
        <v>#N/A</v>
      </c>
    </row>
    <row r="857" ht="30" customHeight="1" spans="1:6">
      <c r="A857" s="4" t="s">
        <v>2020</v>
      </c>
      <c r="B857" s="5" t="s">
        <v>2019</v>
      </c>
      <c r="C857" s="5" t="s">
        <v>1959</v>
      </c>
      <c r="D857" s="5" t="s">
        <v>711</v>
      </c>
      <c r="E857" s="5" t="s">
        <v>712</v>
      </c>
      <c r="F857" t="e">
        <f>_xlfn.XLOOKUP(A857,[1]邦达数据库!$A:$A,[1]邦达数据库!$C:$C)</f>
        <v>#N/A</v>
      </c>
    </row>
    <row r="858" ht="30" customHeight="1" spans="1:6">
      <c r="A858" s="2" t="s">
        <v>2021</v>
      </c>
      <c r="B858" s="3" t="s">
        <v>2019</v>
      </c>
      <c r="C858" s="3" t="s">
        <v>1959</v>
      </c>
      <c r="D858" s="3" t="s">
        <v>711</v>
      </c>
      <c r="E858" s="3" t="s">
        <v>712</v>
      </c>
      <c r="F858" t="e">
        <f>_xlfn.XLOOKUP(A858,[1]邦达数据库!$A:$A,[1]邦达数据库!$C:$C)</f>
        <v>#N/A</v>
      </c>
    </row>
    <row r="859" ht="30" customHeight="1" spans="1:6">
      <c r="A859" s="4" t="s">
        <v>2022</v>
      </c>
      <c r="B859" s="5" t="s">
        <v>2023</v>
      </c>
      <c r="C859" s="5" t="s">
        <v>1141</v>
      </c>
      <c r="D859" s="5" t="s">
        <v>618</v>
      </c>
      <c r="E859" s="5" t="s">
        <v>619</v>
      </c>
      <c r="F859" t="e">
        <f>_xlfn.XLOOKUP(A859,[1]邦达数据库!$A:$A,[1]邦达数据库!$C:$C)</f>
        <v>#N/A</v>
      </c>
    </row>
    <row r="860" ht="30" customHeight="1" spans="1:6">
      <c r="A860" s="2" t="s">
        <v>2024</v>
      </c>
      <c r="B860" s="3" t="s">
        <v>2025</v>
      </c>
      <c r="C860" s="3" t="s">
        <v>962</v>
      </c>
      <c r="D860" s="3" t="s">
        <v>170</v>
      </c>
      <c r="E860" s="3" t="s">
        <v>171</v>
      </c>
      <c r="F860" t="e">
        <f>_xlfn.XLOOKUP(A860,[1]邦达数据库!$A:$A,[1]邦达数据库!$C:$C)</f>
        <v>#N/A</v>
      </c>
    </row>
    <row r="861" ht="30" customHeight="1" spans="1:6">
      <c r="A861" s="4" t="s">
        <v>2026</v>
      </c>
      <c r="B861" s="5" t="s">
        <v>2027</v>
      </c>
      <c r="C861" s="5" t="s">
        <v>72</v>
      </c>
      <c r="D861" s="5" t="s">
        <v>2028</v>
      </c>
      <c r="E861" s="5" t="s">
        <v>2029</v>
      </c>
      <c r="F861" t="e">
        <f>_xlfn.XLOOKUP(A861,[1]邦达数据库!$A:$A,[1]邦达数据库!$C:$C)</f>
        <v>#N/A</v>
      </c>
    </row>
    <row r="862" ht="30" customHeight="1" spans="1:6">
      <c r="A862" s="2" t="s">
        <v>2030</v>
      </c>
      <c r="B862" s="3" t="s">
        <v>463</v>
      </c>
      <c r="C862" s="3" t="s">
        <v>468</v>
      </c>
      <c r="D862" s="3" t="s">
        <v>2031</v>
      </c>
      <c r="E862" s="3" t="s">
        <v>2032</v>
      </c>
      <c r="F862" t="e">
        <f>_xlfn.XLOOKUP(A862,[1]邦达数据库!$A:$A,[1]邦达数据库!$C:$C)</f>
        <v>#N/A</v>
      </c>
    </row>
    <row r="863" ht="30" customHeight="1" spans="1:6">
      <c r="A863" s="4" t="s">
        <v>2033</v>
      </c>
      <c r="B863" s="5" t="s">
        <v>2034</v>
      </c>
      <c r="C863" s="5" t="s">
        <v>571</v>
      </c>
      <c r="D863" s="5" t="s">
        <v>117</v>
      </c>
      <c r="E863" s="5" t="s">
        <v>118</v>
      </c>
      <c r="F863" t="e">
        <f>_xlfn.XLOOKUP(A863,[1]邦达数据库!$A:$A,[1]邦达数据库!$C:$C)</f>
        <v>#N/A</v>
      </c>
    </row>
    <row r="864" ht="30" customHeight="1" spans="1:6">
      <c r="A864" s="2" t="s">
        <v>2035</v>
      </c>
      <c r="B864" s="3" t="s">
        <v>2023</v>
      </c>
      <c r="C864" s="3" t="s">
        <v>1141</v>
      </c>
      <c r="D864" s="3" t="s">
        <v>618</v>
      </c>
      <c r="E864" s="3" t="s">
        <v>619</v>
      </c>
      <c r="F864" t="e">
        <f>_xlfn.XLOOKUP(A864,[1]邦达数据库!$A:$A,[1]邦达数据库!$C:$C)</f>
        <v>#N/A</v>
      </c>
    </row>
    <row r="865" ht="30" customHeight="1" spans="1:6">
      <c r="A865" s="4" t="s">
        <v>2036</v>
      </c>
      <c r="B865" s="5" t="s">
        <v>2037</v>
      </c>
      <c r="C865" s="5" t="s">
        <v>1183</v>
      </c>
      <c r="D865" s="5" t="s">
        <v>149</v>
      </c>
      <c r="E865" s="5" t="s">
        <v>150</v>
      </c>
      <c r="F865" t="e">
        <f>_xlfn.XLOOKUP(A865,[1]邦达数据库!$A:$A,[1]邦达数据库!$C:$C)</f>
        <v>#N/A</v>
      </c>
    </row>
    <row r="866" ht="30" customHeight="1" spans="1:6">
      <c r="A866" s="2" t="s">
        <v>2038</v>
      </c>
      <c r="B866" s="3" t="s">
        <v>1379</v>
      </c>
      <c r="C866" s="3" t="s">
        <v>1027</v>
      </c>
      <c r="D866" s="3" t="s">
        <v>2039</v>
      </c>
      <c r="E866" s="3" t="s">
        <v>2040</v>
      </c>
      <c r="F866" t="e">
        <f>_xlfn.XLOOKUP(A866,[1]邦达数据库!$A:$A,[1]邦达数据库!$C:$C)</f>
        <v>#N/A</v>
      </c>
    </row>
    <row r="867" ht="30" customHeight="1" spans="1:6">
      <c r="A867" s="4" t="s">
        <v>2041</v>
      </c>
      <c r="B867" s="5" t="s">
        <v>2042</v>
      </c>
      <c r="C867" s="5" t="s">
        <v>2043</v>
      </c>
      <c r="D867" s="5" t="s">
        <v>1356</v>
      </c>
      <c r="E867" s="5" t="s">
        <v>1357</v>
      </c>
      <c r="F867" t="e">
        <f>_xlfn.XLOOKUP(A867,[1]邦达数据库!$A:$A,[1]邦达数据库!$C:$C)</f>
        <v>#N/A</v>
      </c>
    </row>
    <row r="868" ht="30" customHeight="1" spans="1:6">
      <c r="A868" s="2" t="s">
        <v>2044</v>
      </c>
      <c r="B868" s="3" t="s">
        <v>2045</v>
      </c>
      <c r="C868" s="3" t="s">
        <v>2046</v>
      </c>
      <c r="D868" s="3" t="s">
        <v>1294</v>
      </c>
      <c r="E868" s="3" t="s">
        <v>1295</v>
      </c>
      <c r="F868" t="e">
        <f>_xlfn.XLOOKUP(A868,[1]邦达数据库!$A:$A,[1]邦达数据库!$C:$C)</f>
        <v>#N/A</v>
      </c>
    </row>
    <row r="869" ht="30" customHeight="1" spans="1:6">
      <c r="A869" s="4" t="s">
        <v>2047</v>
      </c>
      <c r="B869" s="5" t="s">
        <v>2048</v>
      </c>
      <c r="C869" s="5" t="s">
        <v>1759</v>
      </c>
      <c r="D869" s="5" t="s">
        <v>1646</v>
      </c>
      <c r="E869" s="5" t="s">
        <v>1647</v>
      </c>
      <c r="F869" t="e">
        <f>_xlfn.XLOOKUP(A869,[1]邦达数据库!$A:$A,[1]邦达数据库!$C:$C)</f>
        <v>#N/A</v>
      </c>
    </row>
    <row r="870" ht="30" customHeight="1" spans="1:6">
      <c r="A870" s="2" t="s">
        <v>2049</v>
      </c>
      <c r="B870" s="3" t="s">
        <v>2050</v>
      </c>
      <c r="C870" s="3" t="s">
        <v>1467</v>
      </c>
      <c r="D870" s="3" t="s">
        <v>1625</v>
      </c>
      <c r="E870" s="3" t="s">
        <v>1626</v>
      </c>
      <c r="F870" t="e">
        <f>_xlfn.XLOOKUP(A870,[1]邦达数据库!$A:$A,[1]邦达数据库!$C:$C)</f>
        <v>#N/A</v>
      </c>
    </row>
    <row r="871" ht="30" customHeight="1" spans="1:6">
      <c r="A871" s="4" t="s">
        <v>2051</v>
      </c>
      <c r="B871" s="5" t="s">
        <v>2050</v>
      </c>
      <c r="C871" s="5" t="s">
        <v>1467</v>
      </c>
      <c r="D871" s="5" t="s">
        <v>1625</v>
      </c>
      <c r="E871" s="5" t="s">
        <v>1626</v>
      </c>
      <c r="F871" t="e">
        <f>_xlfn.XLOOKUP(A871,[1]邦达数据库!$A:$A,[1]邦达数据库!$C:$C)</f>
        <v>#N/A</v>
      </c>
    </row>
    <row r="872" ht="30" customHeight="1" spans="1:6">
      <c r="A872" s="4" t="s">
        <v>2052</v>
      </c>
      <c r="B872" s="5" t="s">
        <v>2053</v>
      </c>
      <c r="C872" s="5" t="s">
        <v>2054</v>
      </c>
      <c r="D872" s="5" t="s">
        <v>893</v>
      </c>
      <c r="E872" s="5" t="s">
        <v>894</v>
      </c>
      <c r="F872" t="e">
        <f>_xlfn.XLOOKUP(A872,[1]邦达数据库!$A:$A,[1]邦达数据库!$C:$C)</f>
        <v>#N/A</v>
      </c>
    </row>
    <row r="873" ht="30" customHeight="1" spans="1:6">
      <c r="A873" s="2" t="s">
        <v>2055</v>
      </c>
      <c r="B873" s="3" t="s">
        <v>2053</v>
      </c>
      <c r="C873" s="3" t="s">
        <v>2054</v>
      </c>
      <c r="D873" s="3" t="s">
        <v>893</v>
      </c>
      <c r="E873" s="3" t="s">
        <v>894</v>
      </c>
      <c r="F873" t="e">
        <f>_xlfn.XLOOKUP(A873,[1]邦达数据库!$A:$A,[1]邦达数据库!$C:$C)</f>
        <v>#N/A</v>
      </c>
    </row>
    <row r="874" ht="30" customHeight="1" spans="1:6">
      <c r="A874" s="4" t="s">
        <v>2056</v>
      </c>
      <c r="B874" s="5" t="s">
        <v>2053</v>
      </c>
      <c r="C874" s="5" t="s">
        <v>2054</v>
      </c>
      <c r="D874" s="5" t="s">
        <v>893</v>
      </c>
      <c r="E874" s="5" t="s">
        <v>894</v>
      </c>
      <c r="F874" t="e">
        <f>_xlfn.XLOOKUP(A874,[1]邦达数据库!$A:$A,[1]邦达数据库!$C:$C)</f>
        <v>#N/A</v>
      </c>
    </row>
    <row r="875" ht="30" customHeight="1" spans="1:6">
      <c r="A875" s="2" t="s">
        <v>2057</v>
      </c>
      <c r="B875" s="3" t="s">
        <v>2053</v>
      </c>
      <c r="C875" s="3" t="s">
        <v>2054</v>
      </c>
      <c r="D875" s="3" t="s">
        <v>893</v>
      </c>
      <c r="E875" s="3" t="s">
        <v>894</v>
      </c>
      <c r="F875" t="e">
        <f>_xlfn.XLOOKUP(A875,[1]邦达数据库!$A:$A,[1]邦达数据库!$C:$C)</f>
        <v>#N/A</v>
      </c>
    </row>
    <row r="876" ht="30" customHeight="1" spans="1:6">
      <c r="A876" s="4" t="s">
        <v>2058</v>
      </c>
      <c r="B876" s="5" t="s">
        <v>2053</v>
      </c>
      <c r="C876" s="5" t="s">
        <v>2054</v>
      </c>
      <c r="D876" s="5" t="s">
        <v>893</v>
      </c>
      <c r="E876" s="5" t="s">
        <v>894</v>
      </c>
      <c r="F876" t="e">
        <f>_xlfn.XLOOKUP(A876,[1]邦达数据库!$A:$A,[1]邦达数据库!$C:$C)</f>
        <v>#N/A</v>
      </c>
    </row>
    <row r="877" ht="30" customHeight="1" spans="1:6">
      <c r="A877" s="2" t="s">
        <v>2059</v>
      </c>
      <c r="B877" s="3" t="s">
        <v>2060</v>
      </c>
      <c r="C877" s="3" t="s">
        <v>2061</v>
      </c>
      <c r="D877" s="3" t="s">
        <v>211</v>
      </c>
      <c r="E877" s="3" t="s">
        <v>212</v>
      </c>
      <c r="F877" t="e">
        <f>_xlfn.XLOOKUP(A877,[1]邦达数据库!$A:$A,[1]邦达数据库!$C:$C)</f>
        <v>#N/A</v>
      </c>
    </row>
    <row r="878" ht="30" customHeight="1" spans="1:6">
      <c r="A878" s="4" t="s">
        <v>2062</v>
      </c>
      <c r="B878" s="5" t="s">
        <v>2063</v>
      </c>
      <c r="C878" s="5" t="s">
        <v>2061</v>
      </c>
      <c r="D878" s="5" t="s">
        <v>2064</v>
      </c>
      <c r="E878" s="5" t="s">
        <v>2065</v>
      </c>
      <c r="F878" t="e">
        <f>_xlfn.XLOOKUP(A878,[1]邦达数据库!$A:$A,[1]邦达数据库!$C:$C)</f>
        <v>#N/A</v>
      </c>
    </row>
    <row r="879" ht="30" customHeight="1" spans="1:6">
      <c r="A879" s="2" t="s">
        <v>2066</v>
      </c>
      <c r="B879" s="3" t="s">
        <v>2060</v>
      </c>
      <c r="C879" s="3" t="s">
        <v>2061</v>
      </c>
      <c r="D879" s="3" t="s">
        <v>211</v>
      </c>
      <c r="E879" s="3" t="s">
        <v>212</v>
      </c>
      <c r="F879" t="e">
        <f>_xlfn.XLOOKUP(A879,[1]邦达数据库!$A:$A,[1]邦达数据库!$C:$C)</f>
        <v>#N/A</v>
      </c>
    </row>
    <row r="880" ht="30" customHeight="1" spans="1:6">
      <c r="A880" s="4" t="s">
        <v>2067</v>
      </c>
      <c r="B880" s="5" t="s">
        <v>2063</v>
      </c>
      <c r="C880" s="5" t="s">
        <v>2061</v>
      </c>
      <c r="D880" s="5" t="s">
        <v>2064</v>
      </c>
      <c r="E880" s="5" t="s">
        <v>2065</v>
      </c>
      <c r="F880" t="e">
        <f>_xlfn.XLOOKUP(A880,[1]邦达数据库!$A:$A,[1]邦达数据库!$C:$C)</f>
        <v>#N/A</v>
      </c>
    </row>
    <row r="881" ht="30" customHeight="1" spans="1:6">
      <c r="A881" s="2" t="s">
        <v>2068</v>
      </c>
      <c r="B881" s="3" t="s">
        <v>2060</v>
      </c>
      <c r="C881" s="3" t="s">
        <v>2061</v>
      </c>
      <c r="D881" s="3" t="s">
        <v>211</v>
      </c>
      <c r="E881" s="3" t="s">
        <v>212</v>
      </c>
      <c r="F881" t="e">
        <f>_xlfn.XLOOKUP(A881,[1]邦达数据库!$A:$A,[1]邦达数据库!$C:$C)</f>
        <v>#N/A</v>
      </c>
    </row>
    <row r="882" ht="30" customHeight="1" spans="1:6">
      <c r="A882" s="4" t="s">
        <v>2069</v>
      </c>
      <c r="B882" s="5" t="s">
        <v>2070</v>
      </c>
      <c r="C882" s="5" t="s">
        <v>2071</v>
      </c>
      <c r="D882" s="5" t="s">
        <v>379</v>
      </c>
      <c r="E882" s="5" t="s">
        <v>380</v>
      </c>
      <c r="F882" t="e">
        <f>_xlfn.XLOOKUP(A882,[1]邦达数据库!$A:$A,[1]邦达数据库!$C:$C)</f>
        <v>#N/A</v>
      </c>
    </row>
    <row r="883" ht="30" customHeight="1" spans="1:6">
      <c r="A883" s="2" t="s">
        <v>2072</v>
      </c>
      <c r="B883" s="3" t="s">
        <v>2070</v>
      </c>
      <c r="C883" s="3" t="s">
        <v>2071</v>
      </c>
      <c r="D883" s="3" t="s">
        <v>379</v>
      </c>
      <c r="E883" s="3" t="s">
        <v>380</v>
      </c>
      <c r="F883" t="e">
        <f>_xlfn.XLOOKUP(A883,[1]邦达数据库!$A:$A,[1]邦达数据库!$C:$C)</f>
        <v>#N/A</v>
      </c>
    </row>
    <row r="884" ht="30" customHeight="1" spans="1:6">
      <c r="A884" s="4" t="s">
        <v>2073</v>
      </c>
      <c r="B884" s="5" t="s">
        <v>2070</v>
      </c>
      <c r="C884" s="5" t="s">
        <v>2071</v>
      </c>
      <c r="D884" s="5" t="s">
        <v>379</v>
      </c>
      <c r="E884" s="5" t="s">
        <v>380</v>
      </c>
      <c r="F884" t="e">
        <f>_xlfn.XLOOKUP(A884,[1]邦达数据库!$A:$A,[1]邦达数据库!$C:$C)</f>
        <v>#N/A</v>
      </c>
    </row>
    <row r="885" ht="30" customHeight="1" spans="1:6">
      <c r="A885" s="2" t="s">
        <v>2074</v>
      </c>
      <c r="B885" s="3" t="s">
        <v>2070</v>
      </c>
      <c r="C885" s="3" t="s">
        <v>2071</v>
      </c>
      <c r="D885" s="3" t="s">
        <v>379</v>
      </c>
      <c r="E885" s="3" t="s">
        <v>380</v>
      </c>
      <c r="F885" t="e">
        <f>_xlfn.XLOOKUP(A885,[1]邦达数据库!$A:$A,[1]邦达数据库!$C:$C)</f>
        <v>#N/A</v>
      </c>
    </row>
    <row r="886" ht="30" customHeight="1" spans="1:6">
      <c r="A886" s="4" t="s">
        <v>2075</v>
      </c>
      <c r="B886" s="5" t="s">
        <v>2076</v>
      </c>
      <c r="C886" s="5" t="s">
        <v>1225</v>
      </c>
      <c r="D886" s="5" t="s">
        <v>28</v>
      </c>
      <c r="E886" s="5" t="s">
        <v>29</v>
      </c>
      <c r="F886" t="e">
        <f>_xlfn.XLOOKUP(A886,[1]邦达数据库!$A:$A,[1]邦达数据库!$C:$C)</f>
        <v>#N/A</v>
      </c>
    </row>
    <row r="887" ht="30" customHeight="1" spans="1:6">
      <c r="A887" s="4" t="s">
        <v>2077</v>
      </c>
      <c r="B887" s="5" t="s">
        <v>2076</v>
      </c>
      <c r="C887" s="5" t="s">
        <v>1225</v>
      </c>
      <c r="D887" s="5" t="s">
        <v>1057</v>
      </c>
      <c r="E887" s="5" t="s">
        <v>1058</v>
      </c>
      <c r="F887" t="e">
        <f>_xlfn.XLOOKUP(A887,[1]邦达数据库!$A:$A,[1]邦达数据库!$C:$C)</f>
        <v>#N/A</v>
      </c>
    </row>
    <row r="888" ht="30" customHeight="1" spans="1:6">
      <c r="A888" s="2" t="s">
        <v>2078</v>
      </c>
      <c r="B888" s="3" t="s">
        <v>2079</v>
      </c>
      <c r="C888" s="3" t="s">
        <v>1924</v>
      </c>
      <c r="D888" s="3" t="s">
        <v>1273</v>
      </c>
      <c r="E888" s="3" t="s">
        <v>1274</v>
      </c>
      <c r="F888" t="e">
        <f>_xlfn.XLOOKUP(A888,[1]邦达数据库!$A:$A,[1]邦达数据库!$C:$C)</f>
        <v>#N/A</v>
      </c>
    </row>
    <row r="889" ht="30" customHeight="1" spans="1:6">
      <c r="A889" s="4" t="s">
        <v>2080</v>
      </c>
      <c r="B889" s="5" t="s">
        <v>2079</v>
      </c>
      <c r="C889" s="5" t="s">
        <v>1924</v>
      </c>
      <c r="D889" s="5" t="s">
        <v>276</v>
      </c>
      <c r="E889" s="5" t="s">
        <v>277</v>
      </c>
      <c r="F889" t="e">
        <f>_xlfn.XLOOKUP(A889,[1]邦达数据库!$A:$A,[1]邦达数据库!$C:$C)</f>
        <v>#N/A</v>
      </c>
    </row>
    <row r="890" ht="30" customHeight="1" spans="1:6">
      <c r="A890" s="2" t="s">
        <v>2081</v>
      </c>
      <c r="B890" s="3" t="s">
        <v>2079</v>
      </c>
      <c r="C890" s="3" t="s">
        <v>1924</v>
      </c>
      <c r="D890" s="3" t="s">
        <v>618</v>
      </c>
      <c r="E890" s="3" t="s">
        <v>619</v>
      </c>
      <c r="F890" t="e">
        <f>_xlfn.XLOOKUP(A890,[1]邦达数据库!$A:$A,[1]邦达数据库!$C:$C)</f>
        <v>#N/A</v>
      </c>
    </row>
    <row r="891" ht="30" customHeight="1" spans="1:6">
      <c r="A891" s="4" t="s">
        <v>2082</v>
      </c>
      <c r="B891" s="5" t="s">
        <v>2079</v>
      </c>
      <c r="C891" s="5" t="s">
        <v>1924</v>
      </c>
      <c r="D891" s="5" t="s">
        <v>2083</v>
      </c>
      <c r="E891" s="5" t="s">
        <v>2084</v>
      </c>
      <c r="F891" t="e">
        <f>_xlfn.XLOOKUP(A891,[1]邦达数据库!$A:$A,[1]邦达数据库!$C:$C)</f>
        <v>#N/A</v>
      </c>
    </row>
    <row r="892" ht="30" customHeight="1" spans="1:6">
      <c r="A892" s="2" t="s">
        <v>2085</v>
      </c>
      <c r="B892" s="3" t="s">
        <v>2079</v>
      </c>
      <c r="C892" s="3" t="s">
        <v>1924</v>
      </c>
      <c r="D892" s="3" t="s">
        <v>276</v>
      </c>
      <c r="E892" s="3" t="s">
        <v>277</v>
      </c>
      <c r="F892" t="e">
        <f>_xlfn.XLOOKUP(A892,[1]邦达数据库!$A:$A,[1]邦达数据库!$C:$C)</f>
        <v>#N/A</v>
      </c>
    </row>
    <row r="893" ht="30" customHeight="1" spans="1:6">
      <c r="A893" s="4" t="s">
        <v>2086</v>
      </c>
      <c r="B893" s="5" t="s">
        <v>2079</v>
      </c>
      <c r="C893" s="5" t="s">
        <v>1924</v>
      </c>
      <c r="D893" s="5" t="s">
        <v>2083</v>
      </c>
      <c r="E893" s="5" t="s">
        <v>2084</v>
      </c>
      <c r="F893" t="e">
        <f>_xlfn.XLOOKUP(A893,[1]邦达数据库!$A:$A,[1]邦达数据库!$C:$C)</f>
        <v>#N/A</v>
      </c>
    </row>
    <row r="894" ht="30" customHeight="1" spans="1:6">
      <c r="A894" s="2" t="s">
        <v>2087</v>
      </c>
      <c r="B894" s="3" t="s">
        <v>2088</v>
      </c>
      <c r="C894" s="3" t="s">
        <v>1065</v>
      </c>
      <c r="D894" s="3" t="s">
        <v>2089</v>
      </c>
      <c r="E894" s="3" t="s">
        <v>2090</v>
      </c>
      <c r="F894" t="e">
        <f>_xlfn.XLOOKUP(A894,[1]邦达数据库!$A:$A,[1]邦达数据库!$C:$C)</f>
        <v>#N/A</v>
      </c>
    </row>
    <row r="895" ht="30" customHeight="1" spans="1:6">
      <c r="A895" s="4" t="s">
        <v>2091</v>
      </c>
      <c r="B895" s="5" t="s">
        <v>2088</v>
      </c>
      <c r="C895" s="5" t="s">
        <v>1065</v>
      </c>
      <c r="D895" s="5" t="s">
        <v>2092</v>
      </c>
      <c r="E895" s="5" t="s">
        <v>2093</v>
      </c>
      <c r="F895" t="s">
        <v>2094</v>
      </c>
    </row>
    <row r="896" ht="30" customHeight="1" spans="1:6">
      <c r="A896" s="2" t="s">
        <v>2095</v>
      </c>
      <c r="B896" s="3" t="s">
        <v>2088</v>
      </c>
      <c r="C896" s="3" t="s">
        <v>1065</v>
      </c>
      <c r="D896" s="3" t="s">
        <v>2096</v>
      </c>
      <c r="E896" s="3" t="s">
        <v>2097</v>
      </c>
      <c r="F896" t="e">
        <f>_xlfn.XLOOKUP(A896,[1]邦达数据库!$A:$A,[1]邦达数据库!$C:$C)</f>
        <v>#N/A</v>
      </c>
    </row>
    <row r="897" ht="30" customHeight="1" spans="1:6">
      <c r="A897" s="4" t="s">
        <v>2098</v>
      </c>
      <c r="B897" s="5" t="s">
        <v>2088</v>
      </c>
      <c r="C897" s="5" t="s">
        <v>1065</v>
      </c>
      <c r="D897" s="5" t="s">
        <v>2099</v>
      </c>
      <c r="E897" s="5" t="s">
        <v>2100</v>
      </c>
      <c r="F897" t="s">
        <v>2094</v>
      </c>
    </row>
    <row r="898" ht="30" customHeight="1" spans="1:6">
      <c r="A898" s="2" t="s">
        <v>2101</v>
      </c>
      <c r="B898" s="3" t="s">
        <v>2102</v>
      </c>
      <c r="C898" s="3" t="s">
        <v>2103</v>
      </c>
      <c r="D898" s="3" t="s">
        <v>598</v>
      </c>
      <c r="E898" s="3" t="s">
        <v>599</v>
      </c>
      <c r="F898" t="e">
        <f>_xlfn.XLOOKUP(A898,[1]邦达数据库!$A:$A,[1]邦达数据库!$C:$C)</f>
        <v>#N/A</v>
      </c>
    </row>
    <row r="899" ht="30" customHeight="1" spans="1:6">
      <c r="A899" s="4" t="s">
        <v>2104</v>
      </c>
      <c r="B899" s="5" t="s">
        <v>2102</v>
      </c>
      <c r="C899" s="5" t="s">
        <v>2103</v>
      </c>
      <c r="D899" s="5" t="s">
        <v>2105</v>
      </c>
      <c r="E899" s="5" t="s">
        <v>2106</v>
      </c>
      <c r="F899" t="e">
        <f>_xlfn.XLOOKUP(A899,[1]邦达数据库!$A:$A,[1]邦达数据库!$C:$C)</f>
        <v>#N/A</v>
      </c>
    </row>
    <row r="900" ht="30" customHeight="1" spans="1:6">
      <c r="A900" s="2" t="s">
        <v>2107</v>
      </c>
      <c r="B900" s="3" t="s">
        <v>2108</v>
      </c>
      <c r="C900" s="3" t="s">
        <v>1225</v>
      </c>
      <c r="D900" s="3" t="s">
        <v>391</v>
      </c>
      <c r="E900" s="3" t="s">
        <v>392</v>
      </c>
      <c r="F900" t="e">
        <f>_xlfn.XLOOKUP(A900,[1]邦达数据库!$A:$A,[1]邦达数据库!$C:$C)</f>
        <v>#N/A</v>
      </c>
    </row>
    <row r="901" ht="30" customHeight="1" spans="1:6">
      <c r="A901" s="4" t="s">
        <v>2109</v>
      </c>
      <c r="B901" s="5" t="s">
        <v>2110</v>
      </c>
      <c r="C901" s="5" t="s">
        <v>2111</v>
      </c>
      <c r="D901" s="5" t="s">
        <v>33</v>
      </c>
      <c r="E901" s="5" t="s">
        <v>34</v>
      </c>
      <c r="F901" t="e">
        <f>_xlfn.XLOOKUP(A901,[1]邦达数据库!$A:$A,[1]邦达数据库!$C:$C)</f>
        <v>#N/A</v>
      </c>
    </row>
    <row r="902" ht="30" customHeight="1" spans="1:6">
      <c r="A902" s="2" t="s">
        <v>2112</v>
      </c>
      <c r="B902" s="3" t="s">
        <v>2113</v>
      </c>
      <c r="C902" s="3" t="s">
        <v>335</v>
      </c>
      <c r="D902" s="3" t="s">
        <v>2114</v>
      </c>
      <c r="E902" s="3" t="s">
        <v>2115</v>
      </c>
      <c r="F902" t="e">
        <f>_xlfn.XLOOKUP(A902,[1]邦达数据库!$A:$A,[1]邦达数据库!$C:$C)</f>
        <v>#N/A</v>
      </c>
    </row>
    <row r="903" ht="30" customHeight="1" spans="1:6">
      <c r="A903" s="2" t="s">
        <v>2116</v>
      </c>
      <c r="B903" s="3" t="s">
        <v>2117</v>
      </c>
      <c r="C903" s="3" t="s">
        <v>335</v>
      </c>
      <c r="D903" s="3" t="s">
        <v>1646</v>
      </c>
      <c r="E903" s="3" t="s">
        <v>1647</v>
      </c>
      <c r="F903" t="e">
        <f>_xlfn.XLOOKUP(A903,[1]邦达数据库!$A:$A,[1]邦达数据库!$C:$C)</f>
        <v>#N/A</v>
      </c>
    </row>
    <row r="904" ht="30" customHeight="1" spans="1:6">
      <c r="A904" s="4" t="s">
        <v>2118</v>
      </c>
      <c r="B904" s="5" t="s">
        <v>2119</v>
      </c>
      <c r="C904" s="5" t="s">
        <v>716</v>
      </c>
      <c r="D904" s="5" t="s">
        <v>256</v>
      </c>
      <c r="E904" s="5" t="s">
        <v>257</v>
      </c>
      <c r="F904" t="e">
        <f>_xlfn.XLOOKUP(A904,[1]邦达数据库!$A:$A,[1]邦达数据库!$C:$C)</f>
        <v>#N/A</v>
      </c>
    </row>
    <row r="905" ht="30" customHeight="1" spans="1:6">
      <c r="A905" s="2" t="s">
        <v>2120</v>
      </c>
      <c r="B905" s="3" t="s">
        <v>2119</v>
      </c>
      <c r="C905" s="3" t="s">
        <v>716</v>
      </c>
      <c r="D905" s="3" t="s">
        <v>256</v>
      </c>
      <c r="E905" s="3" t="s">
        <v>257</v>
      </c>
      <c r="F905" t="e">
        <f>_xlfn.XLOOKUP(A905,[1]邦达数据库!$A:$A,[1]邦达数据库!$C:$C)</f>
        <v>#N/A</v>
      </c>
    </row>
    <row r="906" ht="30" customHeight="1" spans="1:6">
      <c r="A906" s="4" t="s">
        <v>2121</v>
      </c>
      <c r="B906" s="5" t="s">
        <v>2119</v>
      </c>
      <c r="C906" s="5" t="s">
        <v>716</v>
      </c>
      <c r="D906" s="5" t="s">
        <v>521</v>
      </c>
      <c r="E906" s="5" t="s">
        <v>522</v>
      </c>
      <c r="F906" t="e">
        <f>_xlfn.XLOOKUP(A906,[1]邦达数据库!$A:$A,[1]邦达数据库!$C:$C)</f>
        <v>#N/A</v>
      </c>
    </row>
    <row r="907" ht="30" customHeight="1" spans="1:6">
      <c r="A907" s="2" t="s">
        <v>2122</v>
      </c>
      <c r="B907" s="3" t="s">
        <v>2119</v>
      </c>
      <c r="C907" s="3" t="s">
        <v>716</v>
      </c>
      <c r="D907" s="3" t="s">
        <v>256</v>
      </c>
      <c r="E907" s="3" t="s">
        <v>257</v>
      </c>
      <c r="F907" t="e">
        <f>_xlfn.XLOOKUP(A907,[1]邦达数据库!$A:$A,[1]邦达数据库!$C:$C)</f>
        <v>#N/A</v>
      </c>
    </row>
    <row r="908" ht="30" customHeight="1" spans="1:6">
      <c r="A908" s="2" t="s">
        <v>2123</v>
      </c>
      <c r="B908" s="3" t="s">
        <v>2124</v>
      </c>
      <c r="C908" s="3" t="s">
        <v>2125</v>
      </c>
      <c r="D908" s="3" t="s">
        <v>1356</v>
      </c>
      <c r="E908" s="3" t="s">
        <v>1357</v>
      </c>
      <c r="F908" t="e">
        <f>_xlfn.XLOOKUP(A908,[1]邦达数据库!$A:$A,[1]邦达数据库!$C:$C)</f>
        <v>#N/A</v>
      </c>
    </row>
    <row r="909" ht="30" customHeight="1" spans="1:6">
      <c r="A909" s="4" t="s">
        <v>2126</v>
      </c>
      <c r="B909" s="5" t="s">
        <v>2124</v>
      </c>
      <c r="C909" s="5" t="s">
        <v>2125</v>
      </c>
      <c r="D909" s="5" t="s">
        <v>319</v>
      </c>
      <c r="E909" s="5" t="s">
        <v>320</v>
      </c>
      <c r="F909" t="e">
        <f>_xlfn.XLOOKUP(A909,[1]邦达数据库!$A:$A,[1]邦达数据库!$C:$C)</f>
        <v>#N/A</v>
      </c>
    </row>
    <row r="910" ht="30" customHeight="1" spans="1:6">
      <c r="A910" s="2" t="s">
        <v>2127</v>
      </c>
      <c r="B910" s="3" t="s">
        <v>2128</v>
      </c>
      <c r="C910" s="3" t="s">
        <v>1225</v>
      </c>
      <c r="D910" s="3" t="s">
        <v>2129</v>
      </c>
      <c r="E910" s="3" t="s">
        <v>2130</v>
      </c>
      <c r="F910" t="e">
        <f>_xlfn.XLOOKUP(A910,[1]邦达数据库!$A:$A,[1]邦达数据库!$C:$C)</f>
        <v>#N/A</v>
      </c>
    </row>
    <row r="911" ht="30" customHeight="1" spans="1:6">
      <c r="A911" s="4" t="s">
        <v>2131</v>
      </c>
      <c r="B911" s="5" t="s">
        <v>2128</v>
      </c>
      <c r="C911" s="5" t="s">
        <v>1225</v>
      </c>
      <c r="D911" s="5" t="s">
        <v>2132</v>
      </c>
      <c r="E911" s="5" t="s">
        <v>2133</v>
      </c>
      <c r="F911" t="e">
        <f>_xlfn.XLOOKUP(A911,[1]邦达数据库!$A:$A,[1]邦达数据库!$C:$C)</f>
        <v>#N/A</v>
      </c>
    </row>
    <row r="912" ht="30" customHeight="1" spans="1:6">
      <c r="A912" s="2" t="s">
        <v>2134</v>
      </c>
      <c r="B912" s="3" t="s">
        <v>2128</v>
      </c>
      <c r="C912" s="3" t="s">
        <v>1225</v>
      </c>
      <c r="D912" s="3" t="s">
        <v>104</v>
      </c>
      <c r="E912" s="3" t="s">
        <v>105</v>
      </c>
      <c r="F912" t="e">
        <f>_xlfn.XLOOKUP(A912,[1]邦达数据库!$A:$A,[1]邦达数据库!$C:$C)</f>
        <v>#N/A</v>
      </c>
    </row>
    <row r="913" ht="30" customHeight="1" spans="1:6">
      <c r="A913" s="4" t="s">
        <v>2135</v>
      </c>
      <c r="B913" s="5" t="s">
        <v>2136</v>
      </c>
      <c r="C913" s="5" t="s">
        <v>571</v>
      </c>
      <c r="D913" s="5" t="s">
        <v>2137</v>
      </c>
      <c r="E913" s="5" t="s">
        <v>2138</v>
      </c>
      <c r="F913" t="e">
        <f>_xlfn.XLOOKUP(A913,[1]邦达数据库!$A:$A,[1]邦达数据库!$C:$C)</f>
        <v>#N/A</v>
      </c>
    </row>
    <row r="914" ht="30" customHeight="1" spans="1:6">
      <c r="A914" s="2" t="s">
        <v>2139</v>
      </c>
      <c r="B914" s="3" t="s">
        <v>2136</v>
      </c>
      <c r="C914" s="3" t="s">
        <v>571</v>
      </c>
      <c r="D914" s="3" t="s">
        <v>1659</v>
      </c>
      <c r="E914" s="3" t="s">
        <v>1660</v>
      </c>
      <c r="F914" t="e">
        <f>_xlfn.XLOOKUP(A914,[1]邦达数据库!$A:$A,[1]邦达数据库!$C:$C)</f>
        <v>#N/A</v>
      </c>
    </row>
    <row r="915" ht="30" customHeight="1" spans="1:6">
      <c r="A915" s="4" t="s">
        <v>2140</v>
      </c>
      <c r="B915" s="5" t="s">
        <v>2141</v>
      </c>
      <c r="C915" s="5" t="s">
        <v>2142</v>
      </c>
      <c r="D915" s="5" t="s">
        <v>1278</v>
      </c>
      <c r="E915" s="5" t="s">
        <v>1279</v>
      </c>
      <c r="F915" t="e">
        <f>_xlfn.XLOOKUP(A915,[1]邦达数据库!$A:$A,[1]邦达数据库!$C:$C)</f>
        <v>#N/A</v>
      </c>
    </row>
    <row r="916" ht="30" customHeight="1" spans="1:6">
      <c r="A916" s="2" t="s">
        <v>2143</v>
      </c>
      <c r="B916" s="3" t="s">
        <v>2141</v>
      </c>
      <c r="C916" s="3" t="s">
        <v>2142</v>
      </c>
      <c r="D916" s="3" t="s">
        <v>1278</v>
      </c>
      <c r="E916" s="3" t="s">
        <v>1279</v>
      </c>
      <c r="F916" t="e">
        <f>_xlfn.XLOOKUP(A916,[1]邦达数据库!$A:$A,[1]邦达数据库!$C:$C)</f>
        <v>#N/A</v>
      </c>
    </row>
    <row r="917" ht="30" customHeight="1" spans="1:6">
      <c r="A917" s="4" t="s">
        <v>2144</v>
      </c>
      <c r="B917" s="5" t="s">
        <v>2145</v>
      </c>
      <c r="C917" s="5" t="s">
        <v>1467</v>
      </c>
      <c r="D917" s="5" t="s">
        <v>99</v>
      </c>
      <c r="E917" s="5" t="s">
        <v>100</v>
      </c>
      <c r="F917" t="e">
        <f>_xlfn.XLOOKUP(A917,[1]邦达数据库!$A:$A,[1]邦达数据库!$C:$C)</f>
        <v>#N/A</v>
      </c>
    </row>
    <row r="918" ht="30" customHeight="1" spans="1:6">
      <c r="A918" s="2" t="s">
        <v>2146</v>
      </c>
      <c r="B918" s="3" t="s">
        <v>2147</v>
      </c>
      <c r="C918" s="3" t="s">
        <v>98</v>
      </c>
      <c r="D918" s="3" t="s">
        <v>815</v>
      </c>
      <c r="E918" s="3" t="s">
        <v>816</v>
      </c>
      <c r="F918" t="e">
        <f>_xlfn.XLOOKUP(A918,[1]邦达数据库!$A:$A,[1]邦达数据库!$C:$C)</f>
        <v>#N/A</v>
      </c>
    </row>
    <row r="919" ht="30" customHeight="1" spans="1:6">
      <c r="A919" s="4" t="s">
        <v>2148</v>
      </c>
      <c r="B919" s="5" t="s">
        <v>2149</v>
      </c>
      <c r="C919" s="5" t="s">
        <v>98</v>
      </c>
      <c r="D919" s="5" t="s">
        <v>2150</v>
      </c>
      <c r="E919" s="5" t="s">
        <v>2151</v>
      </c>
      <c r="F919" t="e">
        <f>_xlfn.XLOOKUP(A919,[1]邦达数据库!$A:$A,[1]邦达数据库!$C:$C)</f>
        <v>#N/A</v>
      </c>
    </row>
    <row r="920" ht="30" customHeight="1" spans="1:6">
      <c r="A920" s="2" t="s">
        <v>2152</v>
      </c>
      <c r="B920" s="3" t="s">
        <v>2153</v>
      </c>
      <c r="C920" s="3" t="s">
        <v>2154</v>
      </c>
      <c r="D920" s="3" t="s">
        <v>217</v>
      </c>
      <c r="E920" s="3" t="s">
        <v>218</v>
      </c>
      <c r="F920" t="e">
        <f>_xlfn.XLOOKUP(A920,[1]邦达数据库!$A:$A,[1]邦达数据库!$C:$C)</f>
        <v>#N/A</v>
      </c>
    </row>
    <row r="921" ht="30" customHeight="1" spans="1:6">
      <c r="A921" s="4" t="s">
        <v>2155</v>
      </c>
      <c r="B921" s="5" t="s">
        <v>2156</v>
      </c>
      <c r="C921" s="5" t="s">
        <v>1447</v>
      </c>
      <c r="D921" s="5" t="s">
        <v>38</v>
      </c>
      <c r="E921" s="5" t="s">
        <v>39</v>
      </c>
      <c r="F921" t="e">
        <f>_xlfn.XLOOKUP(A921,[1]邦达数据库!$A:$A,[1]邦达数据库!$C:$C)</f>
        <v>#N/A</v>
      </c>
    </row>
    <row r="922" ht="30" customHeight="1" spans="1:6">
      <c r="A922" s="2" t="s">
        <v>2157</v>
      </c>
      <c r="B922" s="3" t="s">
        <v>2156</v>
      </c>
      <c r="C922" s="3" t="s">
        <v>1447</v>
      </c>
      <c r="D922" s="3" t="s">
        <v>38</v>
      </c>
      <c r="E922" s="3" t="s">
        <v>39</v>
      </c>
      <c r="F922" t="e">
        <f>_xlfn.XLOOKUP(A922,[1]邦达数据库!$A:$A,[1]邦达数据库!$C:$C)</f>
        <v>#N/A</v>
      </c>
    </row>
    <row r="923" ht="30" customHeight="1" spans="1:6">
      <c r="A923" s="4" t="s">
        <v>2158</v>
      </c>
      <c r="B923" s="5" t="s">
        <v>156</v>
      </c>
      <c r="C923" s="5" t="s">
        <v>157</v>
      </c>
      <c r="D923" s="5" t="s">
        <v>524</v>
      </c>
      <c r="E923" s="5" t="s">
        <v>525</v>
      </c>
      <c r="F923" t="e">
        <f>_xlfn.XLOOKUP(A923,[1]邦达数据库!$A:$A,[1]邦达数据库!$C:$C)</f>
        <v>#N/A</v>
      </c>
    </row>
    <row r="924" ht="30" customHeight="1" spans="1:6">
      <c r="A924" s="2" t="s">
        <v>2159</v>
      </c>
      <c r="B924" s="3" t="s">
        <v>156</v>
      </c>
      <c r="C924" s="3" t="s">
        <v>157</v>
      </c>
      <c r="D924" s="3" t="s">
        <v>524</v>
      </c>
      <c r="E924" s="3" t="s">
        <v>525</v>
      </c>
      <c r="F924" t="e">
        <f>_xlfn.XLOOKUP(A924,[1]邦达数据库!$A:$A,[1]邦达数据库!$C:$C)</f>
        <v>#N/A</v>
      </c>
    </row>
    <row r="925" ht="30" customHeight="1" spans="1:6">
      <c r="A925" s="4" t="s">
        <v>2160</v>
      </c>
      <c r="B925" s="5" t="s">
        <v>156</v>
      </c>
      <c r="C925" s="5" t="s">
        <v>157</v>
      </c>
      <c r="D925" s="5" t="s">
        <v>524</v>
      </c>
      <c r="E925" s="5" t="s">
        <v>525</v>
      </c>
      <c r="F925" t="e">
        <f>_xlfn.XLOOKUP(A925,[1]邦达数据库!$A:$A,[1]邦达数据库!$C:$C)</f>
        <v>#N/A</v>
      </c>
    </row>
    <row r="926" ht="30" customHeight="1" spans="1:6">
      <c r="A926" s="2" t="s">
        <v>2161</v>
      </c>
      <c r="B926" s="3" t="s">
        <v>156</v>
      </c>
      <c r="C926" s="3" t="s">
        <v>157</v>
      </c>
      <c r="D926" s="3" t="s">
        <v>521</v>
      </c>
      <c r="E926" s="3" t="s">
        <v>522</v>
      </c>
      <c r="F926" t="e">
        <f>_xlfn.XLOOKUP(A926,[1]邦达数据库!$A:$A,[1]邦达数据库!$C:$C)</f>
        <v>#N/A</v>
      </c>
    </row>
    <row r="927" ht="30" customHeight="1" spans="1:6">
      <c r="A927" s="4" t="s">
        <v>2162</v>
      </c>
      <c r="B927" s="5" t="s">
        <v>156</v>
      </c>
      <c r="C927" s="5" t="s">
        <v>157</v>
      </c>
      <c r="D927" s="5" t="s">
        <v>524</v>
      </c>
      <c r="E927" s="5" t="s">
        <v>525</v>
      </c>
      <c r="F927" t="e">
        <f>_xlfn.XLOOKUP(A927,[1]邦达数据库!$A:$A,[1]邦达数据库!$C:$C)</f>
        <v>#N/A</v>
      </c>
    </row>
    <row r="928" ht="30" customHeight="1" spans="1:6">
      <c r="A928" s="2" t="s">
        <v>2163</v>
      </c>
      <c r="B928" s="3" t="s">
        <v>156</v>
      </c>
      <c r="C928" s="3" t="s">
        <v>157</v>
      </c>
      <c r="D928" s="3" t="s">
        <v>524</v>
      </c>
      <c r="E928" s="3" t="s">
        <v>525</v>
      </c>
      <c r="F928" t="e">
        <f>_xlfn.XLOOKUP(A928,[1]邦达数据库!$A:$A,[1]邦达数据库!$C:$C)</f>
        <v>#N/A</v>
      </c>
    </row>
    <row r="929" ht="30" customHeight="1" spans="1:6">
      <c r="A929" s="4" t="s">
        <v>2164</v>
      </c>
      <c r="B929" s="5" t="s">
        <v>2165</v>
      </c>
      <c r="C929" s="5" t="s">
        <v>2166</v>
      </c>
      <c r="D929" s="5" t="s">
        <v>900</v>
      </c>
      <c r="E929" s="5" t="s">
        <v>901</v>
      </c>
      <c r="F929" t="e">
        <f>_xlfn.XLOOKUP(A929,[1]邦达数据库!$A:$A,[1]邦达数据库!$C:$C)</f>
        <v>#N/A</v>
      </c>
    </row>
    <row r="930" ht="30" customHeight="1" spans="1:6">
      <c r="A930" s="2" t="s">
        <v>2167</v>
      </c>
      <c r="B930" s="3" t="s">
        <v>2165</v>
      </c>
      <c r="C930" s="3" t="s">
        <v>2166</v>
      </c>
      <c r="D930" s="3" t="s">
        <v>2168</v>
      </c>
      <c r="E930" s="3" t="s">
        <v>2169</v>
      </c>
      <c r="F930" t="e">
        <f>_xlfn.XLOOKUP(A930,[1]邦达数据库!$A:$A,[1]邦达数据库!$C:$C)</f>
        <v>#N/A</v>
      </c>
    </row>
    <row r="931" ht="30" customHeight="1" spans="1:6">
      <c r="A931" s="4" t="s">
        <v>2170</v>
      </c>
      <c r="B931" s="5" t="s">
        <v>2165</v>
      </c>
      <c r="C931" s="5" t="s">
        <v>2166</v>
      </c>
      <c r="D931" s="5" t="s">
        <v>2168</v>
      </c>
      <c r="E931" s="5" t="s">
        <v>2169</v>
      </c>
      <c r="F931" t="e">
        <f>_xlfn.XLOOKUP(A931,[1]邦达数据库!$A:$A,[1]邦达数据库!$C:$C)</f>
        <v>#N/A</v>
      </c>
    </row>
    <row r="932" ht="30" customHeight="1" spans="1:6">
      <c r="A932" s="2" t="s">
        <v>2171</v>
      </c>
      <c r="B932" s="3" t="s">
        <v>2172</v>
      </c>
      <c r="C932" s="3" t="s">
        <v>1447</v>
      </c>
      <c r="D932" s="3" t="s">
        <v>2083</v>
      </c>
      <c r="E932" s="3" t="s">
        <v>2084</v>
      </c>
      <c r="F932" t="e">
        <f>_xlfn.XLOOKUP(A932,[1]邦达数据库!$A:$A,[1]邦达数据库!$C:$C)</f>
        <v>#N/A</v>
      </c>
    </row>
    <row r="933" ht="30" customHeight="1" spans="1:6">
      <c r="A933" s="4" t="s">
        <v>2173</v>
      </c>
      <c r="B933" s="5" t="s">
        <v>416</v>
      </c>
      <c r="C933" s="5" t="s">
        <v>242</v>
      </c>
      <c r="D933" s="5" t="s">
        <v>417</v>
      </c>
      <c r="E933" s="5" t="s">
        <v>418</v>
      </c>
      <c r="F933" t="e">
        <f>_xlfn.XLOOKUP(A933,[1]邦达数据库!$A:$A,[1]邦达数据库!$C:$C)</f>
        <v>#N/A</v>
      </c>
    </row>
    <row r="934" ht="30" customHeight="1" spans="1:6">
      <c r="A934" s="2" t="s">
        <v>2174</v>
      </c>
      <c r="B934" s="3" t="s">
        <v>2175</v>
      </c>
      <c r="C934" s="3" t="s">
        <v>2176</v>
      </c>
      <c r="D934" s="3" t="s">
        <v>2177</v>
      </c>
      <c r="E934" s="3" t="s">
        <v>2178</v>
      </c>
      <c r="F934" t="e">
        <f>_xlfn.XLOOKUP(A934,[1]邦达数据库!$A:$A,[1]邦达数据库!$C:$C)</f>
        <v>#N/A</v>
      </c>
    </row>
    <row r="935" ht="30" customHeight="1" spans="1:6">
      <c r="A935" s="4" t="s">
        <v>2179</v>
      </c>
      <c r="B935" s="5" t="s">
        <v>2175</v>
      </c>
      <c r="C935" s="5" t="s">
        <v>2176</v>
      </c>
      <c r="D935" s="5" t="s">
        <v>2177</v>
      </c>
      <c r="E935" s="5" t="s">
        <v>2178</v>
      </c>
      <c r="F935" t="e">
        <f>_xlfn.XLOOKUP(A935,[1]邦达数据库!$A:$A,[1]邦达数据库!$C:$C)</f>
        <v>#N/A</v>
      </c>
    </row>
    <row r="936" ht="30" customHeight="1" spans="1:6">
      <c r="A936" s="2" t="s">
        <v>2180</v>
      </c>
      <c r="B936" s="3" t="s">
        <v>2181</v>
      </c>
      <c r="C936" s="3" t="s">
        <v>2182</v>
      </c>
      <c r="D936" s="3" t="s">
        <v>2183</v>
      </c>
      <c r="E936" s="3" t="s">
        <v>2184</v>
      </c>
      <c r="F936" t="e">
        <f>_xlfn.XLOOKUP(A936,[1]邦达数据库!$A:$A,[1]邦达数据库!$C:$C)</f>
        <v>#N/A</v>
      </c>
    </row>
    <row r="937" ht="30" customHeight="1" spans="1:6">
      <c r="A937" s="4" t="s">
        <v>2185</v>
      </c>
      <c r="B937" s="5" t="s">
        <v>2181</v>
      </c>
      <c r="C937" s="5" t="s">
        <v>2182</v>
      </c>
      <c r="D937" s="5" t="s">
        <v>2092</v>
      </c>
      <c r="E937" s="5" t="s">
        <v>2093</v>
      </c>
      <c r="F937" t="str">
        <f>_xlfn.XLOOKUP(A937,[1]邦达数据库!$A:$A,[1]邦达数据库!$C:$C)</f>
        <v>8501.31.0099</v>
      </c>
    </row>
    <row r="938" ht="30" customHeight="1" spans="1:6">
      <c r="A938" s="2" t="s">
        <v>2186</v>
      </c>
      <c r="B938" s="3" t="s">
        <v>2181</v>
      </c>
      <c r="C938" s="3" t="s">
        <v>2182</v>
      </c>
      <c r="D938" s="3" t="s">
        <v>1920</v>
      </c>
      <c r="E938" s="3" t="s">
        <v>1921</v>
      </c>
      <c r="F938" t="e">
        <f>_xlfn.XLOOKUP(A938,[1]邦达数据库!$A:$A,[1]邦达数据库!$C:$C)</f>
        <v>#N/A</v>
      </c>
    </row>
    <row r="939" ht="30" customHeight="1" spans="1:6">
      <c r="A939" s="4" t="s">
        <v>2187</v>
      </c>
      <c r="B939" s="5" t="s">
        <v>2181</v>
      </c>
      <c r="C939" s="5" t="s">
        <v>2182</v>
      </c>
      <c r="D939" s="5" t="s">
        <v>2092</v>
      </c>
      <c r="E939" s="5" t="s">
        <v>2093</v>
      </c>
      <c r="F939" t="e">
        <f>_xlfn.XLOOKUP(A939,[1]邦达数据库!$A:$A,[1]邦达数据库!$C:$C)</f>
        <v>#N/A</v>
      </c>
    </row>
    <row r="940" ht="30" customHeight="1" spans="1:6">
      <c r="A940" s="4" t="s">
        <v>2188</v>
      </c>
      <c r="B940" s="5" t="s">
        <v>2189</v>
      </c>
      <c r="C940" s="5" t="s">
        <v>2190</v>
      </c>
      <c r="D940" s="5" t="s">
        <v>507</v>
      </c>
      <c r="E940" s="5" t="s">
        <v>508</v>
      </c>
      <c r="F940" t="e">
        <f>_xlfn.XLOOKUP(A940,[1]邦达数据库!$A:$A,[1]邦达数据库!$C:$C)</f>
        <v>#N/A</v>
      </c>
    </row>
    <row r="941" ht="30" customHeight="1" spans="1:6">
      <c r="A941" s="2" t="s">
        <v>2191</v>
      </c>
      <c r="B941" s="3" t="s">
        <v>2189</v>
      </c>
      <c r="C941" s="3" t="s">
        <v>2190</v>
      </c>
      <c r="D941" s="3" t="s">
        <v>367</v>
      </c>
      <c r="E941" s="3" t="s">
        <v>368</v>
      </c>
      <c r="F941" t="e">
        <f>_xlfn.XLOOKUP(A941,[1]邦达数据库!$A:$A,[1]邦达数据库!$C:$C)</f>
        <v>#N/A</v>
      </c>
    </row>
    <row r="942" ht="30" customHeight="1" spans="1:6">
      <c r="A942" s="4" t="s">
        <v>2192</v>
      </c>
      <c r="B942" s="5" t="s">
        <v>2189</v>
      </c>
      <c r="C942" s="5" t="s">
        <v>2190</v>
      </c>
      <c r="D942" s="5" t="s">
        <v>211</v>
      </c>
      <c r="E942" s="5" t="s">
        <v>212</v>
      </c>
      <c r="F942" t="e">
        <f>_xlfn.XLOOKUP(A942,[1]邦达数据库!$A:$A,[1]邦达数据库!$C:$C)</f>
        <v>#N/A</v>
      </c>
    </row>
    <row r="943" ht="30" customHeight="1" spans="1:6">
      <c r="A943" s="2" t="s">
        <v>2193</v>
      </c>
      <c r="B943" s="3" t="s">
        <v>2189</v>
      </c>
      <c r="C943" s="3" t="s">
        <v>2190</v>
      </c>
      <c r="D943" s="3" t="s">
        <v>364</v>
      </c>
      <c r="E943" s="3" t="s">
        <v>365</v>
      </c>
      <c r="F943" t="e">
        <f>_xlfn.XLOOKUP(A943,[1]邦达数据库!$A:$A,[1]邦达数据库!$C:$C)</f>
        <v>#N/A</v>
      </c>
    </row>
    <row r="944" ht="30" customHeight="1" spans="1:6">
      <c r="A944" s="4" t="s">
        <v>2194</v>
      </c>
      <c r="B944" s="5" t="s">
        <v>2189</v>
      </c>
      <c r="C944" s="5" t="s">
        <v>2190</v>
      </c>
      <c r="D944" s="5" t="s">
        <v>2195</v>
      </c>
      <c r="E944" s="5" t="s">
        <v>2196</v>
      </c>
      <c r="F944" t="e">
        <f>_xlfn.XLOOKUP(A944,[1]邦达数据库!$A:$A,[1]邦达数据库!$C:$C)</f>
        <v>#N/A</v>
      </c>
    </row>
    <row r="945" ht="30" customHeight="1" spans="1:6">
      <c r="A945" s="2" t="s">
        <v>2197</v>
      </c>
      <c r="B945" s="3" t="s">
        <v>2189</v>
      </c>
      <c r="C945" s="3" t="s">
        <v>2190</v>
      </c>
      <c r="D945" s="3" t="s">
        <v>1655</v>
      </c>
      <c r="E945" s="3" t="s">
        <v>1656</v>
      </c>
      <c r="F945" t="e">
        <f>_xlfn.XLOOKUP(A945,[1]邦达数据库!$A:$A,[1]邦达数据库!$C:$C)</f>
        <v>#N/A</v>
      </c>
    </row>
    <row r="946" ht="30" customHeight="1" spans="1:6">
      <c r="A946" s="4" t="s">
        <v>2198</v>
      </c>
      <c r="B946" s="5" t="s">
        <v>2189</v>
      </c>
      <c r="C946" s="5" t="s">
        <v>2190</v>
      </c>
      <c r="D946" s="5" t="s">
        <v>367</v>
      </c>
      <c r="E946" s="5" t="s">
        <v>368</v>
      </c>
      <c r="F946" t="e">
        <f>_xlfn.XLOOKUP(A946,[1]邦达数据库!$A:$A,[1]邦达数据库!$C:$C)</f>
        <v>#N/A</v>
      </c>
    </row>
    <row r="947" ht="30" customHeight="1" spans="1:6">
      <c r="A947" s="2" t="s">
        <v>2199</v>
      </c>
      <c r="B947" s="3" t="s">
        <v>2189</v>
      </c>
      <c r="C947" s="3" t="s">
        <v>2190</v>
      </c>
      <c r="D947" s="3" t="s">
        <v>211</v>
      </c>
      <c r="E947" s="3" t="s">
        <v>212</v>
      </c>
      <c r="F947" t="str">
        <f>_xlfn.XLOOKUP(A947,[1]邦达数据库!$A:$A,[1]邦达数据库!$C:$C)</f>
        <v>8205.70.0000</v>
      </c>
    </row>
    <row r="948" ht="30" customHeight="1" spans="1:6">
      <c r="A948" s="4" t="s">
        <v>2200</v>
      </c>
      <c r="B948" s="5" t="s">
        <v>2189</v>
      </c>
      <c r="C948" s="5" t="s">
        <v>2190</v>
      </c>
      <c r="D948" s="5" t="s">
        <v>250</v>
      </c>
      <c r="E948" s="5" t="s">
        <v>251</v>
      </c>
      <c r="F948" t="e">
        <f>_xlfn.XLOOKUP(A948,[1]邦达数据库!$A:$A,[1]邦达数据库!$C:$C)</f>
        <v>#N/A</v>
      </c>
    </row>
    <row r="949" ht="30" customHeight="1" spans="1:6">
      <c r="A949" s="2" t="s">
        <v>2201</v>
      </c>
      <c r="B949" s="3" t="s">
        <v>2189</v>
      </c>
      <c r="C949" s="3" t="s">
        <v>2190</v>
      </c>
      <c r="D949" s="3" t="s">
        <v>507</v>
      </c>
      <c r="E949" s="3" t="s">
        <v>508</v>
      </c>
      <c r="F949" t="str">
        <f>_xlfn.XLOOKUP(A949,[1]邦达数据库!$A:$A,[1]邦达数据库!$C:$C)</f>
        <v>8205.70.0000</v>
      </c>
    </row>
    <row r="950" ht="30" customHeight="1" spans="1:6">
      <c r="A950" s="4" t="s">
        <v>2202</v>
      </c>
      <c r="B950" s="5" t="s">
        <v>2189</v>
      </c>
      <c r="C950" s="5" t="s">
        <v>2190</v>
      </c>
      <c r="D950" s="5" t="s">
        <v>507</v>
      </c>
      <c r="E950" s="5" t="s">
        <v>508</v>
      </c>
      <c r="F950" t="e">
        <f>_xlfn.XLOOKUP(A950,[1]邦达数据库!$A:$A,[1]邦达数据库!$C:$C)</f>
        <v>#N/A</v>
      </c>
    </row>
    <row r="951" ht="30" customHeight="1" spans="1:6">
      <c r="A951" s="2" t="s">
        <v>2203</v>
      </c>
      <c r="B951" s="3" t="s">
        <v>2204</v>
      </c>
      <c r="C951" s="3" t="s">
        <v>265</v>
      </c>
      <c r="D951" s="3" t="s">
        <v>237</v>
      </c>
      <c r="E951" s="3" t="s">
        <v>238</v>
      </c>
      <c r="F951" t="e">
        <f>_xlfn.XLOOKUP(A951,[1]邦达数据库!$A:$A,[1]邦达数据库!$C:$C)</f>
        <v>#N/A</v>
      </c>
    </row>
    <row r="952" ht="30" customHeight="1" spans="1:6">
      <c r="A952" s="4" t="s">
        <v>2205</v>
      </c>
      <c r="B952" s="5" t="s">
        <v>2204</v>
      </c>
      <c r="C952" s="5" t="s">
        <v>265</v>
      </c>
      <c r="D952" s="5" t="s">
        <v>2177</v>
      </c>
      <c r="E952" s="5" t="s">
        <v>2178</v>
      </c>
      <c r="F952" t="e">
        <f>_xlfn.XLOOKUP(A952,[1]邦达数据库!$A:$A,[1]邦达数据库!$C:$C)</f>
        <v>#N/A</v>
      </c>
    </row>
    <row r="953" ht="30" customHeight="1" spans="1:6">
      <c r="A953" s="2" t="s">
        <v>2206</v>
      </c>
      <c r="B953" s="3" t="s">
        <v>2207</v>
      </c>
      <c r="C953" s="3" t="s">
        <v>412</v>
      </c>
      <c r="D953" s="3" t="s">
        <v>1369</v>
      </c>
      <c r="E953" s="3" t="s">
        <v>1370</v>
      </c>
      <c r="F953" t="e">
        <f>_xlfn.XLOOKUP(A953,[1]邦达数据库!$A:$A,[1]邦达数据库!$C:$C)</f>
        <v>#N/A</v>
      </c>
    </row>
    <row r="954" ht="30" customHeight="1" spans="1:6">
      <c r="A954" s="4" t="s">
        <v>2208</v>
      </c>
      <c r="B954" s="5" t="s">
        <v>2207</v>
      </c>
      <c r="C954" s="5" t="s">
        <v>412</v>
      </c>
      <c r="D954" s="5" t="s">
        <v>1369</v>
      </c>
      <c r="E954" s="5" t="s">
        <v>1370</v>
      </c>
      <c r="F954" t="e">
        <f>_xlfn.XLOOKUP(A954,[1]邦达数据库!$A:$A,[1]邦达数据库!$C:$C)</f>
        <v>#N/A</v>
      </c>
    </row>
    <row r="955" ht="30" customHeight="1" spans="1:6">
      <c r="A955" s="2" t="s">
        <v>2209</v>
      </c>
      <c r="B955" s="3" t="s">
        <v>2207</v>
      </c>
      <c r="C955" s="3" t="s">
        <v>412</v>
      </c>
      <c r="D955" s="3" t="s">
        <v>2210</v>
      </c>
      <c r="E955" s="3" t="s">
        <v>2211</v>
      </c>
      <c r="F955" t="e">
        <f>_xlfn.XLOOKUP(A955,[1]邦达数据库!$A:$A,[1]邦达数据库!$C:$C)</f>
        <v>#N/A</v>
      </c>
    </row>
    <row r="956" ht="30" customHeight="1" spans="1:6">
      <c r="A956" s="4" t="s">
        <v>2212</v>
      </c>
      <c r="B956" s="5" t="s">
        <v>2207</v>
      </c>
      <c r="C956" s="5" t="s">
        <v>412</v>
      </c>
      <c r="D956" s="5" t="s">
        <v>1356</v>
      </c>
      <c r="E956" s="5" t="s">
        <v>1357</v>
      </c>
      <c r="F956" t="e">
        <f>_xlfn.XLOOKUP(A956,[1]邦达数据库!$A:$A,[1]邦达数据库!$C:$C)</f>
        <v>#N/A</v>
      </c>
    </row>
    <row r="957" ht="30" customHeight="1" spans="1:6">
      <c r="A957" s="2" t="s">
        <v>2213</v>
      </c>
      <c r="B957" s="3" t="s">
        <v>2207</v>
      </c>
      <c r="C957" s="3" t="s">
        <v>412</v>
      </c>
      <c r="D957" s="3" t="s">
        <v>319</v>
      </c>
      <c r="E957" s="3" t="s">
        <v>320</v>
      </c>
      <c r="F957" t="e">
        <f>_xlfn.XLOOKUP(A957,[1]邦达数据库!$A:$A,[1]邦达数据库!$C:$C)</f>
        <v>#N/A</v>
      </c>
    </row>
    <row r="958" ht="30" customHeight="1" spans="1:6">
      <c r="A958" s="4" t="s">
        <v>2214</v>
      </c>
      <c r="B958" s="5" t="s">
        <v>731</v>
      </c>
      <c r="C958" s="5" t="s">
        <v>1447</v>
      </c>
      <c r="D958" s="5" t="s">
        <v>404</v>
      </c>
      <c r="E958" s="5" t="s">
        <v>405</v>
      </c>
      <c r="F958" t="str">
        <f>_xlfn.XLOOKUP(A958,[1]邦达数据库!$A:$A,[1]邦达数据库!$C:$C)</f>
        <v>8443.39.0000</v>
      </c>
    </row>
    <row r="959" ht="30" customHeight="1" spans="1:6">
      <c r="A959" s="2" t="s">
        <v>2215</v>
      </c>
      <c r="B959" s="3" t="s">
        <v>731</v>
      </c>
      <c r="C959" s="3" t="s">
        <v>1447</v>
      </c>
      <c r="D959" s="3" t="s">
        <v>1655</v>
      </c>
      <c r="E959" s="3" t="s">
        <v>1656</v>
      </c>
      <c r="F959" t="e">
        <f>_xlfn.XLOOKUP(A959,[1]邦达数据库!$A:$A,[1]邦达数据库!$C:$C)</f>
        <v>#N/A</v>
      </c>
    </row>
    <row r="960" ht="30" customHeight="1" spans="1:6">
      <c r="A960" s="4" t="s">
        <v>2216</v>
      </c>
      <c r="B960" s="5" t="s">
        <v>2217</v>
      </c>
      <c r="C960" s="5" t="s">
        <v>696</v>
      </c>
      <c r="D960" s="5" t="s">
        <v>170</v>
      </c>
      <c r="E960" s="5" t="s">
        <v>171</v>
      </c>
      <c r="F960" t="e">
        <f>_xlfn.XLOOKUP(A960,[1]邦达数据库!$A:$A,[1]邦达数据库!$C:$C)</f>
        <v>#N/A</v>
      </c>
    </row>
    <row r="961" ht="30" customHeight="1" spans="1:6">
      <c r="A961" s="2" t="s">
        <v>2218</v>
      </c>
      <c r="B961" s="3" t="s">
        <v>2217</v>
      </c>
      <c r="C961" s="3" t="s">
        <v>696</v>
      </c>
      <c r="D961" s="3" t="s">
        <v>223</v>
      </c>
      <c r="E961" s="3" t="s">
        <v>224</v>
      </c>
      <c r="F961" t="e">
        <f>_xlfn.XLOOKUP(A961,[1]邦达数据库!$A:$A,[1]邦达数据库!$C:$C)</f>
        <v>#N/A</v>
      </c>
    </row>
    <row r="962" ht="30" customHeight="1" spans="1:6">
      <c r="A962" s="4" t="s">
        <v>2219</v>
      </c>
      <c r="B962" s="5" t="s">
        <v>2217</v>
      </c>
      <c r="C962" s="5" t="s">
        <v>696</v>
      </c>
      <c r="D962" s="5" t="s">
        <v>1729</v>
      </c>
      <c r="E962" s="5" t="s">
        <v>1730</v>
      </c>
      <c r="F962" t="e">
        <f>_xlfn.XLOOKUP(A962,[1]邦达数据库!$A:$A,[1]邦达数据库!$C:$C)</f>
        <v>#N/A</v>
      </c>
    </row>
    <row r="963" ht="30" customHeight="1" spans="1:6">
      <c r="A963" s="2" t="s">
        <v>2220</v>
      </c>
      <c r="B963" s="3" t="s">
        <v>2217</v>
      </c>
      <c r="C963" s="3" t="s">
        <v>696</v>
      </c>
      <c r="D963" s="3" t="s">
        <v>170</v>
      </c>
      <c r="E963" s="3" t="s">
        <v>171</v>
      </c>
      <c r="F963" t="e">
        <f>_xlfn.XLOOKUP(A963,[1]邦达数据库!$A:$A,[1]邦达数据库!$C:$C)</f>
        <v>#N/A</v>
      </c>
    </row>
    <row r="964" ht="30" customHeight="1" spans="1:6">
      <c r="A964" s="4" t="s">
        <v>2221</v>
      </c>
      <c r="B964" s="5" t="s">
        <v>2222</v>
      </c>
      <c r="C964" s="5" t="s">
        <v>72</v>
      </c>
      <c r="D964" s="5" t="s">
        <v>815</v>
      </c>
      <c r="E964" s="5" t="s">
        <v>816</v>
      </c>
      <c r="F964" t="e">
        <f>_xlfn.XLOOKUP(A964,[1]邦达数据库!$A:$A,[1]邦达数据库!$C:$C)</f>
        <v>#N/A</v>
      </c>
    </row>
    <row r="965" ht="30" customHeight="1" spans="1:6">
      <c r="A965" s="2" t="s">
        <v>2223</v>
      </c>
      <c r="B965" s="3" t="s">
        <v>2224</v>
      </c>
      <c r="C965" s="3" t="s">
        <v>1447</v>
      </c>
      <c r="D965" s="3" t="s">
        <v>428</v>
      </c>
      <c r="E965" s="3" t="s">
        <v>429</v>
      </c>
      <c r="F965" t="e">
        <f>_xlfn.XLOOKUP(A965,[1]邦达数据库!$A:$A,[1]邦达数据库!$C:$C)</f>
        <v>#N/A</v>
      </c>
    </row>
    <row r="966" ht="30" customHeight="1" spans="1:6">
      <c r="A966" s="2" t="s">
        <v>2225</v>
      </c>
      <c r="B966" s="3" t="s">
        <v>2226</v>
      </c>
      <c r="C966" s="3" t="s">
        <v>284</v>
      </c>
      <c r="D966" s="3" t="s">
        <v>582</v>
      </c>
      <c r="E966" s="3" t="s">
        <v>583</v>
      </c>
      <c r="F966" t="e">
        <f>_xlfn.XLOOKUP(A966,[1]邦达数据库!$A:$A,[1]邦达数据库!$C:$C)</f>
        <v>#N/A</v>
      </c>
    </row>
    <row r="967" ht="30" customHeight="1" spans="1:6">
      <c r="A967" s="4" t="s">
        <v>2227</v>
      </c>
      <c r="B967" s="5" t="s">
        <v>2226</v>
      </c>
      <c r="C967" s="5" t="s">
        <v>284</v>
      </c>
      <c r="D967" s="5" t="s">
        <v>1872</v>
      </c>
      <c r="E967" s="5" t="s">
        <v>1873</v>
      </c>
      <c r="F967" t="e">
        <f>_xlfn.XLOOKUP(A967,[1]邦达数据库!$A:$A,[1]邦达数据库!$C:$C)</f>
        <v>#N/A</v>
      </c>
    </row>
    <row r="968" ht="30" customHeight="1" spans="1:6">
      <c r="A968" s="2" t="s">
        <v>2228</v>
      </c>
      <c r="B968" s="3" t="s">
        <v>2226</v>
      </c>
      <c r="C968" s="3" t="s">
        <v>284</v>
      </c>
      <c r="D968" s="3" t="s">
        <v>250</v>
      </c>
      <c r="E968" s="3" t="s">
        <v>251</v>
      </c>
      <c r="F968" t="e">
        <f>_xlfn.XLOOKUP(A968,[1]邦达数据库!$A:$A,[1]邦达数据库!$C:$C)</f>
        <v>#N/A</v>
      </c>
    </row>
    <row r="969" ht="30" customHeight="1" spans="1:6">
      <c r="A969" s="4" t="s">
        <v>2229</v>
      </c>
      <c r="B969" s="5" t="s">
        <v>2230</v>
      </c>
      <c r="C969" s="5" t="s">
        <v>42</v>
      </c>
      <c r="D969" s="5" t="s">
        <v>400</v>
      </c>
      <c r="E969" s="5" t="s">
        <v>401</v>
      </c>
      <c r="F969" t="str">
        <f>_xlfn.XLOOKUP(A969,[1]邦达数据库!$A:$A,[1]邦达数据库!$C:$C)</f>
        <v>8502.31.0097</v>
      </c>
    </row>
    <row r="970" ht="30" customHeight="1" spans="1:6">
      <c r="A970" s="2" t="s">
        <v>2231</v>
      </c>
      <c r="B970" s="3" t="s">
        <v>2230</v>
      </c>
      <c r="C970" s="3" t="s">
        <v>42</v>
      </c>
      <c r="D970" s="3" t="s">
        <v>1920</v>
      </c>
      <c r="E970" s="3" t="s">
        <v>1921</v>
      </c>
      <c r="F970" t="str">
        <f>_xlfn.XLOOKUP(A970,[1]邦达数据库!$A:$A,[1]邦达数据库!$C:$C)</f>
        <v>8502.31.0097</v>
      </c>
    </row>
    <row r="971" ht="30" customHeight="1" spans="1:6">
      <c r="A971" s="4" t="s">
        <v>2232</v>
      </c>
      <c r="B971" s="5" t="s">
        <v>2230</v>
      </c>
      <c r="C971" s="5" t="s">
        <v>42</v>
      </c>
      <c r="D971" s="5" t="s">
        <v>1920</v>
      </c>
      <c r="E971" s="5" t="s">
        <v>1921</v>
      </c>
      <c r="F971" t="str">
        <f>_xlfn.XLOOKUP(A971,[1]邦达数据库!$A:$A,[1]邦达数据库!$C:$C)</f>
        <v>8502.31.0097</v>
      </c>
    </row>
    <row r="972" ht="30" customHeight="1" spans="1:6">
      <c r="A972" s="2" t="s">
        <v>2233</v>
      </c>
      <c r="B972" s="3" t="s">
        <v>2234</v>
      </c>
      <c r="C972" s="3" t="s">
        <v>318</v>
      </c>
      <c r="D972" s="3" t="s">
        <v>250</v>
      </c>
      <c r="E972" s="3" t="s">
        <v>251</v>
      </c>
      <c r="F972" t="e">
        <f>_xlfn.XLOOKUP(A972,[1]邦达数据库!$A:$A,[1]邦达数据库!$C:$C)</f>
        <v>#N/A</v>
      </c>
    </row>
    <row r="973" ht="30" customHeight="1" spans="1:6">
      <c r="A973" s="4" t="s">
        <v>2235</v>
      </c>
      <c r="B973" s="5" t="s">
        <v>2234</v>
      </c>
      <c r="C973" s="5" t="s">
        <v>2236</v>
      </c>
      <c r="D973" s="5" t="s">
        <v>2237</v>
      </c>
      <c r="E973" s="5" t="s">
        <v>2238</v>
      </c>
      <c r="F973" t="e">
        <f>_xlfn.XLOOKUP(A973,[1]邦达数据库!$A:$A,[1]邦达数据库!$C:$C)</f>
        <v>#N/A</v>
      </c>
    </row>
    <row r="974" ht="30" customHeight="1" spans="1:6">
      <c r="A974" s="4" t="s">
        <v>2239</v>
      </c>
      <c r="B974" s="5" t="s">
        <v>2240</v>
      </c>
      <c r="C974" s="5" t="s">
        <v>2241</v>
      </c>
      <c r="D974" s="5" t="s">
        <v>170</v>
      </c>
      <c r="E974" s="5" t="s">
        <v>171</v>
      </c>
      <c r="F974" t="e">
        <f>_xlfn.XLOOKUP(A974,[1]邦达数据库!$A:$A,[1]邦达数据库!$C:$C)</f>
        <v>#N/A</v>
      </c>
    </row>
    <row r="975" ht="30" customHeight="1" spans="1:6">
      <c r="A975" s="2" t="s">
        <v>2242</v>
      </c>
      <c r="B975" s="3" t="s">
        <v>2045</v>
      </c>
      <c r="C975" s="3" t="s">
        <v>2046</v>
      </c>
      <c r="D975" s="3" t="s">
        <v>1294</v>
      </c>
      <c r="E975" s="3" t="s">
        <v>1295</v>
      </c>
      <c r="F975" t="e">
        <f>_xlfn.XLOOKUP(A975,[1]邦达数据库!$A:$A,[1]邦达数据库!$C:$C)</f>
        <v>#N/A</v>
      </c>
    </row>
    <row r="976" ht="30" customHeight="1" spans="1:6">
      <c r="A976" s="2" t="s">
        <v>2243</v>
      </c>
      <c r="B976" s="3" t="s">
        <v>731</v>
      </c>
      <c r="C976" s="3" t="s">
        <v>1447</v>
      </c>
      <c r="D976" s="3" t="s">
        <v>404</v>
      </c>
      <c r="E976" s="3" t="s">
        <v>405</v>
      </c>
      <c r="F976" t="str">
        <f>_xlfn.XLOOKUP(A976,[1]邦达数据库!$A:$A,[1]邦达数据库!$C:$C)</f>
        <v>8443.39.0000</v>
      </c>
    </row>
    <row r="977" ht="30" customHeight="1" spans="1:6">
      <c r="A977" s="4" t="s">
        <v>2244</v>
      </c>
      <c r="B977" s="5" t="s">
        <v>2245</v>
      </c>
      <c r="C977" s="5" t="s">
        <v>2246</v>
      </c>
      <c r="D977" s="5" t="s">
        <v>237</v>
      </c>
      <c r="E977" s="5" t="s">
        <v>238</v>
      </c>
      <c r="F977" t="e">
        <f>_xlfn.XLOOKUP(A977,[1]邦达数据库!$A:$A,[1]邦达数据库!$C:$C)</f>
        <v>#N/A</v>
      </c>
    </row>
    <row r="978" ht="30" customHeight="1" spans="1:6">
      <c r="A978" s="2" t="s">
        <v>2247</v>
      </c>
      <c r="B978" s="3" t="s">
        <v>2248</v>
      </c>
      <c r="C978" s="3" t="s">
        <v>2249</v>
      </c>
      <c r="D978" s="3" t="s">
        <v>2250</v>
      </c>
      <c r="E978" s="3" t="s">
        <v>2251</v>
      </c>
      <c r="F978" t="e">
        <f>_xlfn.XLOOKUP(A978,[1]邦达数据库!$A:$A,[1]邦达数据库!$C:$C)</f>
        <v>#N/A</v>
      </c>
    </row>
    <row r="979" ht="30" customHeight="1" spans="1:6">
      <c r="A979" s="2" t="s">
        <v>2252</v>
      </c>
      <c r="B979" s="3" t="s">
        <v>2248</v>
      </c>
      <c r="C979" s="3" t="s">
        <v>2249</v>
      </c>
      <c r="D979" s="3" t="s">
        <v>2253</v>
      </c>
      <c r="E979" s="3" t="s">
        <v>2254</v>
      </c>
      <c r="F979" t="e">
        <f>_xlfn.XLOOKUP(A979,[1]邦达数据库!$A:$A,[1]邦达数据库!$C:$C)</f>
        <v>#N/A</v>
      </c>
    </row>
    <row r="980" ht="30" customHeight="1" spans="1:6">
      <c r="A980" s="4" t="s">
        <v>2255</v>
      </c>
      <c r="B980" s="5" t="s">
        <v>2248</v>
      </c>
      <c r="C980" s="5" t="s">
        <v>2249</v>
      </c>
      <c r="D980" s="5" t="s">
        <v>2250</v>
      </c>
      <c r="E980" s="5" t="s">
        <v>2251</v>
      </c>
      <c r="F980" t="e">
        <f>_xlfn.XLOOKUP(A980,[1]邦达数据库!$A:$A,[1]邦达数据库!$C:$C)</f>
        <v>#N/A</v>
      </c>
    </row>
    <row r="981" ht="30" customHeight="1" spans="1:6">
      <c r="A981" s="2" t="s">
        <v>2256</v>
      </c>
      <c r="B981" s="3" t="s">
        <v>2248</v>
      </c>
      <c r="C981" s="3" t="s">
        <v>2249</v>
      </c>
      <c r="D981" s="3" t="s">
        <v>2250</v>
      </c>
      <c r="E981" s="3" t="s">
        <v>2251</v>
      </c>
      <c r="F981" t="e">
        <f>_xlfn.XLOOKUP(A981,[1]邦达数据库!$A:$A,[1]邦达数据库!$C:$C)</f>
        <v>#N/A</v>
      </c>
    </row>
    <row r="982" ht="30" customHeight="1" spans="1:6">
      <c r="A982" s="4" t="s">
        <v>2257</v>
      </c>
      <c r="B982" s="5" t="s">
        <v>2258</v>
      </c>
      <c r="C982" s="5" t="s">
        <v>1027</v>
      </c>
      <c r="D982" s="5" t="s">
        <v>719</v>
      </c>
      <c r="E982" s="5" t="s">
        <v>720</v>
      </c>
      <c r="F982" t="e">
        <f>_xlfn.XLOOKUP(A982,[1]邦达数据库!$A:$A,[1]邦达数据库!$C:$C)</f>
        <v>#N/A</v>
      </c>
    </row>
    <row r="983" ht="30" customHeight="1" spans="1:6">
      <c r="A983" s="2" t="s">
        <v>2259</v>
      </c>
      <c r="B983" s="3" t="s">
        <v>2260</v>
      </c>
      <c r="C983" s="3" t="s">
        <v>17</v>
      </c>
      <c r="D983" s="3" t="s">
        <v>400</v>
      </c>
      <c r="E983" s="3" t="s">
        <v>401</v>
      </c>
      <c r="F983" t="e">
        <f>_xlfn.XLOOKUP(A983,[1]邦达数据库!$A:$A,[1]邦达数据库!$C:$C)</f>
        <v>#N/A</v>
      </c>
    </row>
    <row r="984" ht="30" customHeight="1" spans="1:6">
      <c r="A984" s="4" t="s">
        <v>2261</v>
      </c>
      <c r="B984" s="5" t="s">
        <v>2262</v>
      </c>
      <c r="C984" s="5" t="s">
        <v>2263</v>
      </c>
      <c r="D984" s="5" t="s">
        <v>1729</v>
      </c>
      <c r="E984" s="5" t="s">
        <v>1730</v>
      </c>
      <c r="F984" t="e">
        <f>_xlfn.XLOOKUP(A984,[1]邦达数据库!$A:$A,[1]邦达数据库!$C:$C)</f>
        <v>#N/A</v>
      </c>
    </row>
    <row r="985" ht="30" customHeight="1" spans="1:6">
      <c r="A985" s="2" t="s">
        <v>2264</v>
      </c>
      <c r="B985" s="3" t="s">
        <v>2265</v>
      </c>
      <c r="C985" s="3" t="s">
        <v>2266</v>
      </c>
      <c r="D985" s="3" t="s">
        <v>314</v>
      </c>
      <c r="E985" s="3" t="s">
        <v>315</v>
      </c>
      <c r="F985" t="e">
        <f>_xlfn.XLOOKUP(A985,[1]邦达数据库!$A:$A,[1]邦达数据库!$C:$C)</f>
        <v>#N/A</v>
      </c>
    </row>
    <row r="986" ht="30" customHeight="1" spans="1:6">
      <c r="A986" s="4" t="s">
        <v>2267</v>
      </c>
      <c r="B986" s="5" t="s">
        <v>2268</v>
      </c>
      <c r="C986" s="5" t="s">
        <v>2269</v>
      </c>
      <c r="D986" s="5" t="s">
        <v>1052</v>
      </c>
      <c r="E986" s="5" t="s">
        <v>1053</v>
      </c>
      <c r="F986" t="e">
        <f>_xlfn.XLOOKUP(A986,[1]邦达数据库!$A:$A,[1]邦达数据库!$C:$C)</f>
        <v>#N/A</v>
      </c>
    </row>
    <row r="987" ht="30" customHeight="1" spans="1:6">
      <c r="A987" s="2" t="s">
        <v>2270</v>
      </c>
      <c r="B987" s="3" t="s">
        <v>293</v>
      </c>
      <c r="C987" s="3" t="s">
        <v>265</v>
      </c>
      <c r="D987" s="3" t="s">
        <v>2253</v>
      </c>
      <c r="E987" s="3" t="s">
        <v>2254</v>
      </c>
      <c r="F987" t="e">
        <f>_xlfn.XLOOKUP(A987,[1]邦达数据库!$A:$A,[1]邦达数据库!$C:$C)</f>
        <v>#N/A</v>
      </c>
    </row>
    <row r="988" ht="30" customHeight="1" spans="1:6">
      <c r="A988" s="4" t="s">
        <v>2271</v>
      </c>
      <c r="B988" s="5" t="s">
        <v>2272</v>
      </c>
      <c r="C988" s="5" t="s">
        <v>98</v>
      </c>
      <c r="D988" s="5" t="s">
        <v>400</v>
      </c>
      <c r="E988" s="5" t="s">
        <v>401</v>
      </c>
      <c r="F988" t="e">
        <f>_xlfn.XLOOKUP(A988,[1]邦达数据库!$A:$A,[1]邦达数据库!$C:$C)</f>
        <v>#N/A</v>
      </c>
    </row>
    <row r="989" ht="30" customHeight="1" spans="1:6">
      <c r="A989" s="2" t="s">
        <v>2273</v>
      </c>
      <c r="B989" s="3" t="s">
        <v>2274</v>
      </c>
      <c r="C989" s="3" t="s">
        <v>2275</v>
      </c>
      <c r="D989" s="3" t="s">
        <v>2276</v>
      </c>
      <c r="E989" s="3" t="s">
        <v>2277</v>
      </c>
      <c r="F989" t="e">
        <f>_xlfn.XLOOKUP(A989,[1]邦达数据库!$A:$A,[1]邦达数据库!$C:$C)</f>
        <v>#N/A</v>
      </c>
    </row>
    <row r="990" ht="30" customHeight="1" spans="1:6">
      <c r="A990" s="4" t="s">
        <v>2278</v>
      </c>
      <c r="B990" s="5" t="s">
        <v>2274</v>
      </c>
      <c r="C990" s="5" t="s">
        <v>2275</v>
      </c>
      <c r="D990" s="5" t="s">
        <v>2276</v>
      </c>
      <c r="E990" s="5" t="s">
        <v>2277</v>
      </c>
      <c r="F990" t="e">
        <f>_xlfn.XLOOKUP(A990,[1]邦达数据库!$A:$A,[1]邦达数据库!$C:$C)</f>
        <v>#N/A</v>
      </c>
    </row>
    <row r="991" ht="30" customHeight="1" spans="1:6">
      <c r="A991" s="2" t="s">
        <v>2279</v>
      </c>
      <c r="B991" s="3" t="s">
        <v>2280</v>
      </c>
      <c r="C991" s="3" t="s">
        <v>2281</v>
      </c>
      <c r="D991" s="3" t="s">
        <v>2282</v>
      </c>
      <c r="E991" s="3" t="s">
        <v>2283</v>
      </c>
      <c r="F991" t="e">
        <f>_xlfn.XLOOKUP(A991,[1]邦达数据库!$A:$A,[1]邦达数据库!$C:$C)</f>
        <v>#N/A</v>
      </c>
    </row>
    <row r="992" ht="30" customHeight="1" spans="1:6">
      <c r="A992" s="4" t="s">
        <v>2284</v>
      </c>
      <c r="B992" s="5" t="s">
        <v>2285</v>
      </c>
      <c r="C992" s="5" t="s">
        <v>2286</v>
      </c>
      <c r="D992" s="5" t="s">
        <v>326</v>
      </c>
      <c r="E992" s="5" t="s">
        <v>327</v>
      </c>
      <c r="F992" t="e">
        <f>_xlfn.XLOOKUP(A992,[1]邦达数据库!$A:$A,[1]邦达数据库!$C:$C)</f>
        <v>#N/A</v>
      </c>
    </row>
    <row r="993" ht="30" customHeight="1" spans="1:6">
      <c r="A993" s="2" t="s">
        <v>2287</v>
      </c>
      <c r="B993" s="3" t="s">
        <v>2285</v>
      </c>
      <c r="C993" s="3" t="s">
        <v>2286</v>
      </c>
      <c r="D993" s="3" t="s">
        <v>2288</v>
      </c>
      <c r="E993" s="3" t="s">
        <v>2289</v>
      </c>
      <c r="F993" t="e">
        <f>_xlfn.XLOOKUP(A993,[1]邦达数据库!$A:$A,[1]邦达数据库!$C:$C)</f>
        <v>#N/A</v>
      </c>
    </row>
    <row r="994" ht="30" customHeight="1" spans="1:6">
      <c r="A994" s="4" t="s">
        <v>2290</v>
      </c>
      <c r="B994" s="5" t="s">
        <v>2285</v>
      </c>
      <c r="C994" s="5" t="s">
        <v>2286</v>
      </c>
      <c r="D994" s="5" t="s">
        <v>1285</v>
      </c>
      <c r="E994" s="5" t="s">
        <v>1286</v>
      </c>
      <c r="F994" t="e">
        <f>_xlfn.XLOOKUP(A994,[1]邦达数据库!$A:$A,[1]邦达数据库!$C:$C)</f>
        <v>#N/A</v>
      </c>
    </row>
    <row r="995" ht="30" customHeight="1" spans="1:6">
      <c r="A995" s="2" t="s">
        <v>2291</v>
      </c>
      <c r="B995" s="3" t="s">
        <v>2285</v>
      </c>
      <c r="C995" s="3" t="s">
        <v>2286</v>
      </c>
      <c r="D995" s="3" t="s">
        <v>326</v>
      </c>
      <c r="E995" s="3" t="s">
        <v>327</v>
      </c>
      <c r="F995" t="e">
        <f>_xlfn.XLOOKUP(A995,[1]邦达数据库!$A:$A,[1]邦达数据库!$C:$C)</f>
        <v>#N/A</v>
      </c>
    </row>
    <row r="996" ht="30" customHeight="1" spans="1:6">
      <c r="A996" s="4" t="s">
        <v>2292</v>
      </c>
      <c r="B996" s="5" t="s">
        <v>2285</v>
      </c>
      <c r="C996" s="5" t="s">
        <v>2286</v>
      </c>
      <c r="D996" s="5" t="s">
        <v>1285</v>
      </c>
      <c r="E996" s="5" t="s">
        <v>1286</v>
      </c>
      <c r="F996" t="e">
        <f>_xlfn.XLOOKUP(A996,[1]邦达数据库!$A:$A,[1]邦达数据库!$C:$C)</f>
        <v>#N/A</v>
      </c>
    </row>
    <row r="997" ht="30" customHeight="1" spans="1:6">
      <c r="A997" s="2" t="s">
        <v>2293</v>
      </c>
      <c r="B997" s="3" t="s">
        <v>515</v>
      </c>
      <c r="C997" s="3" t="s">
        <v>2294</v>
      </c>
      <c r="D997" s="3" t="s">
        <v>2295</v>
      </c>
      <c r="E997" s="3" t="s">
        <v>2296</v>
      </c>
      <c r="F997" t="e">
        <f>_xlfn.XLOOKUP(A997,[1]邦达数据库!$A:$A,[1]邦达数据库!$C:$C)</f>
        <v>#N/A</v>
      </c>
    </row>
    <row r="998" ht="30" customHeight="1" spans="1:6">
      <c r="A998" s="4" t="s">
        <v>2297</v>
      </c>
      <c r="B998" s="5" t="s">
        <v>2298</v>
      </c>
      <c r="C998" s="5" t="s">
        <v>72</v>
      </c>
      <c r="D998" s="5" t="s">
        <v>2299</v>
      </c>
      <c r="E998" s="5" t="s">
        <v>2300</v>
      </c>
      <c r="F998" t="e">
        <f>_xlfn.XLOOKUP(A998,[1]邦达数据库!$A:$A,[1]邦达数据库!$C:$C)</f>
        <v>#N/A</v>
      </c>
    </row>
    <row r="999" ht="30" customHeight="1" spans="1:6">
      <c r="A999" s="2" t="s">
        <v>2301</v>
      </c>
      <c r="B999" s="3" t="s">
        <v>2302</v>
      </c>
      <c r="C999" s="3" t="s">
        <v>1447</v>
      </c>
      <c r="D999" s="3" t="s">
        <v>1454</v>
      </c>
      <c r="E999" s="3" t="s">
        <v>1455</v>
      </c>
      <c r="F999" t="e">
        <f>_xlfn.XLOOKUP(A999,[1]邦达数据库!$A:$A,[1]邦达数据库!$C:$C)</f>
        <v>#N/A</v>
      </c>
    </row>
    <row r="1000" ht="30" customHeight="1" spans="1:6">
      <c r="A1000" s="4" t="s">
        <v>2303</v>
      </c>
      <c r="B1000" s="5" t="s">
        <v>2304</v>
      </c>
      <c r="C1000" s="5" t="s">
        <v>1447</v>
      </c>
      <c r="D1000" s="5" t="s">
        <v>719</v>
      </c>
      <c r="E1000" s="5" t="s">
        <v>720</v>
      </c>
      <c r="F1000" t="e">
        <f>_xlfn.XLOOKUP(A1000,[1]邦达数据库!$A:$A,[1]邦达数据库!$C:$C)</f>
        <v>#N/A</v>
      </c>
    </row>
    <row r="1001" ht="30" customHeight="1" spans="1:6">
      <c r="A1001" s="2" t="s">
        <v>2305</v>
      </c>
      <c r="B1001" s="3" t="s">
        <v>2306</v>
      </c>
      <c r="C1001" s="3" t="s">
        <v>17</v>
      </c>
      <c r="D1001" s="3" t="s">
        <v>518</v>
      </c>
      <c r="E1001" s="3" t="s">
        <v>519</v>
      </c>
      <c r="F1001" t="e">
        <f>_xlfn.XLOOKUP(A1001,[1]邦达数据库!$A:$A,[1]邦达数据库!$C:$C)</f>
        <v>#N/A</v>
      </c>
    </row>
    <row r="1002" ht="30" customHeight="1" spans="1:6">
      <c r="A1002" s="4" t="s">
        <v>2307</v>
      </c>
      <c r="B1002" s="5" t="s">
        <v>2308</v>
      </c>
      <c r="C1002" s="5" t="s">
        <v>836</v>
      </c>
      <c r="D1002" s="5" t="s">
        <v>436</v>
      </c>
      <c r="E1002" s="5" t="s">
        <v>437</v>
      </c>
      <c r="F1002" t="e">
        <f>_xlfn.XLOOKUP(A1002,[1]邦达数据库!$A:$A,[1]邦达数据库!$C:$C)</f>
        <v>#N/A</v>
      </c>
    </row>
    <row r="1003" ht="30" customHeight="1" spans="1:6">
      <c r="A1003" s="2" t="s">
        <v>2309</v>
      </c>
      <c r="B1003" s="3" t="s">
        <v>2265</v>
      </c>
      <c r="C1003" s="3" t="s">
        <v>1225</v>
      </c>
      <c r="D1003" s="3" t="s">
        <v>711</v>
      </c>
      <c r="E1003" s="3" t="s">
        <v>712</v>
      </c>
      <c r="F1003" t="e">
        <f>_xlfn.XLOOKUP(A1003,[1]邦达数据库!$A:$A,[1]邦达数据库!$C:$C)</f>
        <v>#N/A</v>
      </c>
    </row>
    <row r="1004" ht="30" customHeight="1" spans="1:6">
      <c r="A1004" s="4" t="s">
        <v>2310</v>
      </c>
      <c r="B1004" s="5" t="s">
        <v>2311</v>
      </c>
      <c r="C1004" s="5" t="s">
        <v>63</v>
      </c>
      <c r="D1004" s="5" t="s">
        <v>181</v>
      </c>
      <c r="E1004" s="5" t="s">
        <v>182</v>
      </c>
      <c r="F1004" t="e">
        <f>_xlfn.XLOOKUP(A1004,[1]邦达数据库!$A:$A,[1]邦达数据库!$C:$C)</f>
        <v>#N/A</v>
      </c>
    </row>
    <row r="1005" ht="30" customHeight="1" spans="1:6">
      <c r="A1005" s="2" t="s">
        <v>2312</v>
      </c>
      <c r="B1005" s="3" t="s">
        <v>2313</v>
      </c>
      <c r="C1005" s="3" t="s">
        <v>586</v>
      </c>
      <c r="D1005" s="3" t="s">
        <v>181</v>
      </c>
      <c r="E1005" s="3" t="s">
        <v>182</v>
      </c>
      <c r="F1005" t="e">
        <f>_xlfn.XLOOKUP(A1005,[1]邦达数据库!$A:$A,[1]邦达数据库!$C:$C)</f>
        <v>#N/A</v>
      </c>
    </row>
    <row r="1006" ht="30" customHeight="1" spans="1:6">
      <c r="A1006" s="4" t="s">
        <v>2314</v>
      </c>
      <c r="B1006" s="5" t="s">
        <v>2315</v>
      </c>
      <c r="C1006" s="5" t="s">
        <v>221</v>
      </c>
      <c r="D1006" s="5" t="s">
        <v>400</v>
      </c>
      <c r="E1006" s="5" t="s">
        <v>401</v>
      </c>
      <c r="F1006" t="e">
        <f>_xlfn.XLOOKUP(A1006,[1]邦达数据库!$A:$A,[1]邦达数据库!$C:$C)</f>
        <v>#N/A</v>
      </c>
    </row>
    <row r="1007" ht="30" customHeight="1" spans="1:6">
      <c r="A1007" s="2" t="s">
        <v>2316</v>
      </c>
      <c r="B1007" s="3" t="s">
        <v>2317</v>
      </c>
      <c r="C1007" s="3" t="s">
        <v>2286</v>
      </c>
      <c r="D1007" s="3" t="s">
        <v>18</v>
      </c>
      <c r="E1007" s="3" t="s">
        <v>19</v>
      </c>
      <c r="F1007" t="s">
        <v>2318</v>
      </c>
    </row>
    <row r="1008" ht="30" customHeight="1" spans="1:6">
      <c r="A1008" s="4" t="s">
        <v>2319</v>
      </c>
      <c r="B1008" s="5" t="s">
        <v>2320</v>
      </c>
      <c r="C1008" s="5" t="s">
        <v>221</v>
      </c>
      <c r="D1008" s="5" t="s">
        <v>1356</v>
      </c>
      <c r="E1008" s="5" t="s">
        <v>1357</v>
      </c>
      <c r="F1008" t="e">
        <f>_xlfn.XLOOKUP(A1008,[1]邦达数据库!$A:$A,[1]邦达数据库!$C:$C)</f>
        <v>#N/A</v>
      </c>
    </row>
    <row r="1009" ht="30" customHeight="1" spans="1:6">
      <c r="A1009" s="2" t="s">
        <v>2321</v>
      </c>
      <c r="B1009" s="3" t="s">
        <v>2322</v>
      </c>
      <c r="C1009" s="3" t="s">
        <v>17</v>
      </c>
      <c r="D1009" s="3" t="s">
        <v>223</v>
      </c>
      <c r="E1009" s="3" t="s">
        <v>224</v>
      </c>
      <c r="F1009" t="e">
        <f>_xlfn.XLOOKUP(A1009,[1]邦达数据库!$A:$A,[1]邦达数据库!$C:$C)</f>
        <v>#N/A</v>
      </c>
    </row>
    <row r="1010" ht="30" customHeight="1" spans="1:6">
      <c r="A1010" s="4" t="s">
        <v>2323</v>
      </c>
      <c r="B1010" s="5" t="s">
        <v>2324</v>
      </c>
      <c r="C1010" s="5" t="s">
        <v>2325</v>
      </c>
      <c r="D1010" s="5" t="s">
        <v>1825</v>
      </c>
      <c r="E1010" s="5" t="s">
        <v>1826</v>
      </c>
      <c r="F1010" t="str">
        <f>_xlfn.XLOOKUP(A1010,[1]邦达数据库!$A:$A,[1]邦达数据库!$C:$C)</f>
        <v>8301.40.1900</v>
      </c>
    </row>
    <row r="1011" ht="30" customHeight="1" spans="1:6">
      <c r="A1011" s="2" t="s">
        <v>2326</v>
      </c>
      <c r="B1011" s="3" t="s">
        <v>2324</v>
      </c>
      <c r="C1011" s="3" t="s">
        <v>2325</v>
      </c>
      <c r="D1011" s="3" t="s">
        <v>832</v>
      </c>
      <c r="E1011" s="3" t="s">
        <v>833</v>
      </c>
      <c r="F1011" t="str">
        <f>_xlfn.XLOOKUP(A1011,[1]邦达数据库!$A:$A,[1]邦达数据库!$C:$C)</f>
        <v>8301.40.1900</v>
      </c>
    </row>
    <row r="1012" ht="30" customHeight="1" spans="1:6">
      <c r="A1012" s="4" t="s">
        <v>2327</v>
      </c>
      <c r="B1012" s="5" t="s">
        <v>2328</v>
      </c>
      <c r="C1012" s="5" t="s">
        <v>17</v>
      </c>
      <c r="D1012" s="5" t="s">
        <v>223</v>
      </c>
      <c r="E1012" s="5" t="s">
        <v>224</v>
      </c>
      <c r="F1012" t="e">
        <f>_xlfn.XLOOKUP(A1012,[1]邦达数据库!$A:$A,[1]邦达数据库!$C:$C)</f>
        <v>#N/A</v>
      </c>
    </row>
    <row r="1013" ht="30" customHeight="1" spans="1:6">
      <c r="A1013" s="2" t="s">
        <v>2329</v>
      </c>
      <c r="B1013" s="3" t="s">
        <v>1541</v>
      </c>
      <c r="C1013" s="3" t="s">
        <v>725</v>
      </c>
      <c r="D1013" s="3" t="s">
        <v>2330</v>
      </c>
      <c r="E1013" s="3" t="s">
        <v>2331</v>
      </c>
      <c r="F1013" t="e">
        <f>_xlfn.XLOOKUP(A1013,[1]邦达数据库!$A:$A,[1]邦达数据库!$C:$C)</f>
        <v>#N/A</v>
      </c>
    </row>
    <row r="1014" ht="30" customHeight="1" spans="1:6">
      <c r="A1014" s="4" t="s">
        <v>2332</v>
      </c>
      <c r="B1014" s="5" t="s">
        <v>1541</v>
      </c>
      <c r="C1014" s="5" t="s">
        <v>725</v>
      </c>
      <c r="D1014" s="5" t="s">
        <v>2333</v>
      </c>
      <c r="E1014" s="5" t="s">
        <v>2334</v>
      </c>
      <c r="F1014" t="e">
        <f>_xlfn.XLOOKUP(A1014,[1]邦达数据库!$A:$A,[1]邦达数据库!$C:$C)</f>
        <v>#N/A</v>
      </c>
    </row>
    <row r="1015" ht="30" customHeight="1" spans="1:6">
      <c r="A1015" s="2" t="s">
        <v>2335</v>
      </c>
      <c r="B1015" s="3" t="s">
        <v>1541</v>
      </c>
      <c r="C1015" s="3" t="s">
        <v>725</v>
      </c>
      <c r="D1015" s="3" t="s">
        <v>2336</v>
      </c>
      <c r="E1015" s="3" t="s">
        <v>2337</v>
      </c>
      <c r="F1015" t="e">
        <f>_xlfn.XLOOKUP(A1015,[1]邦达数据库!$A:$A,[1]邦达数据库!$C:$C)</f>
        <v>#N/A</v>
      </c>
    </row>
    <row r="1016" ht="30" customHeight="1" spans="1:6">
      <c r="A1016" s="4" t="s">
        <v>2338</v>
      </c>
      <c r="B1016" s="5" t="s">
        <v>2339</v>
      </c>
      <c r="C1016" s="5" t="s">
        <v>836</v>
      </c>
      <c r="D1016" s="5" t="s">
        <v>2340</v>
      </c>
      <c r="E1016" s="5" t="s">
        <v>2341</v>
      </c>
      <c r="F1016" t="e">
        <f>_xlfn.XLOOKUP(A1016,[1]邦达数据库!$A:$A,[1]邦达数据库!$C:$C)</f>
        <v>#N/A</v>
      </c>
    </row>
    <row r="1017" ht="30" customHeight="1" spans="1:6">
      <c r="A1017" s="2" t="s">
        <v>2342</v>
      </c>
      <c r="B1017" s="3" t="s">
        <v>2343</v>
      </c>
      <c r="C1017" s="3" t="s">
        <v>412</v>
      </c>
      <c r="D1017" s="3" t="s">
        <v>2344</v>
      </c>
      <c r="E1017" s="3" t="s">
        <v>2345</v>
      </c>
      <c r="F1017" t="e">
        <f>_xlfn.XLOOKUP(A1017,[1]邦达数据库!$A:$A,[1]邦达数据库!$C:$C)</f>
        <v>#N/A</v>
      </c>
    </row>
    <row r="1018" ht="30" customHeight="1" spans="1:6">
      <c r="A1018" s="4" t="s">
        <v>2346</v>
      </c>
      <c r="B1018" s="5" t="s">
        <v>2347</v>
      </c>
      <c r="C1018" s="5" t="s">
        <v>17</v>
      </c>
      <c r="D1018" s="5" t="s">
        <v>112</v>
      </c>
      <c r="E1018" s="5" t="s">
        <v>113</v>
      </c>
      <c r="F1018" t="str">
        <f>_xlfn.XLOOKUP(A1018,[1]邦达数据库!$A:$A,[1]邦达数据库!$C:$C)</f>
        <v>9504.90.1000</v>
      </c>
    </row>
    <row r="1019" ht="30" customHeight="1" spans="1:6">
      <c r="A1019" s="2" t="s">
        <v>2348</v>
      </c>
      <c r="B1019" s="3" t="s">
        <v>2349</v>
      </c>
      <c r="C1019" s="3" t="s">
        <v>2350</v>
      </c>
      <c r="D1019" s="3" t="s">
        <v>2351</v>
      </c>
      <c r="E1019" s="3" t="s">
        <v>2352</v>
      </c>
      <c r="F1019" t="e">
        <f>_xlfn.XLOOKUP(A1019,[1]邦达数据库!$A:$A,[1]邦达数据库!$C:$C)</f>
        <v>#N/A</v>
      </c>
    </row>
    <row r="1020" ht="30" customHeight="1" spans="1:6">
      <c r="A1020" s="4" t="s">
        <v>2353</v>
      </c>
      <c r="B1020" s="5" t="s">
        <v>2349</v>
      </c>
      <c r="C1020" s="5" t="s">
        <v>2350</v>
      </c>
      <c r="D1020" s="5" t="s">
        <v>2354</v>
      </c>
      <c r="E1020" s="5" t="s">
        <v>2355</v>
      </c>
      <c r="F1020" t="e">
        <f>_xlfn.XLOOKUP(A1020,[1]邦达数据库!$A:$A,[1]邦达数据库!$C:$C)</f>
        <v>#N/A</v>
      </c>
    </row>
    <row r="1021" ht="30" customHeight="1" spans="1:6">
      <c r="A1021" s="2" t="s">
        <v>2356</v>
      </c>
      <c r="B1021" s="3" t="s">
        <v>2349</v>
      </c>
      <c r="C1021" s="3" t="s">
        <v>2350</v>
      </c>
      <c r="D1021" s="3" t="s">
        <v>421</v>
      </c>
      <c r="E1021" s="3" t="s">
        <v>422</v>
      </c>
      <c r="F1021" t="e">
        <f>_xlfn.XLOOKUP(A1021,[1]邦达数据库!$A:$A,[1]邦达数据库!$C:$C)</f>
        <v>#N/A</v>
      </c>
    </row>
    <row r="1022" ht="30" customHeight="1" spans="1:6">
      <c r="A1022" s="4" t="s">
        <v>2357</v>
      </c>
      <c r="B1022" s="5" t="s">
        <v>2349</v>
      </c>
      <c r="C1022" s="5" t="s">
        <v>1447</v>
      </c>
      <c r="D1022" s="5" t="s">
        <v>2358</v>
      </c>
      <c r="E1022" s="5" t="s">
        <v>2359</v>
      </c>
      <c r="F1022" t="e">
        <f>_xlfn.XLOOKUP(A1022,[1]邦达数据库!$A:$A,[1]邦达数据库!$C:$C)</f>
        <v>#N/A</v>
      </c>
    </row>
    <row r="1023" ht="30" customHeight="1" spans="1:6">
      <c r="A1023" s="2" t="s">
        <v>2360</v>
      </c>
      <c r="B1023" s="3" t="s">
        <v>846</v>
      </c>
      <c r="C1023" s="3" t="s">
        <v>17</v>
      </c>
      <c r="D1023" s="3" t="s">
        <v>170</v>
      </c>
      <c r="E1023" s="3" t="s">
        <v>171</v>
      </c>
      <c r="F1023" t="e">
        <f>_xlfn.XLOOKUP(A1023,[1]邦达数据库!$A:$A,[1]邦达数据库!$C:$C)</f>
        <v>#N/A</v>
      </c>
    </row>
    <row r="1024" ht="30" customHeight="1" spans="1:6">
      <c r="A1024" s="4" t="s">
        <v>2361</v>
      </c>
      <c r="B1024" s="5" t="s">
        <v>846</v>
      </c>
      <c r="C1024" s="5" t="s">
        <v>17</v>
      </c>
      <c r="D1024" s="5" t="s">
        <v>170</v>
      </c>
      <c r="E1024" s="5" t="s">
        <v>171</v>
      </c>
      <c r="F1024" t="e">
        <f>_xlfn.XLOOKUP(A1024,[1]邦达数据库!$A:$A,[1]邦达数据库!$C:$C)</f>
        <v>#N/A</v>
      </c>
    </row>
    <row r="1025" ht="30" customHeight="1" spans="1:6">
      <c r="A1025" s="2" t="s">
        <v>2362</v>
      </c>
      <c r="B1025" s="3" t="s">
        <v>2363</v>
      </c>
      <c r="C1025" s="3" t="s">
        <v>63</v>
      </c>
      <c r="D1025" s="3" t="s">
        <v>243</v>
      </c>
      <c r="E1025" s="3" t="s">
        <v>244</v>
      </c>
      <c r="F1025" t="e">
        <f>_xlfn.XLOOKUP(A1025,[1]邦达数据库!$A:$A,[1]邦达数据库!$C:$C)</f>
        <v>#N/A</v>
      </c>
    </row>
    <row r="1026" ht="30" customHeight="1" spans="1:6">
      <c r="A1026" s="4" t="s">
        <v>2364</v>
      </c>
      <c r="B1026" s="5" t="s">
        <v>2363</v>
      </c>
      <c r="C1026" s="5" t="s">
        <v>63</v>
      </c>
      <c r="D1026" s="5" t="s">
        <v>243</v>
      </c>
      <c r="E1026" s="5" t="s">
        <v>244</v>
      </c>
      <c r="F1026" t="e">
        <f>_xlfn.XLOOKUP(A1026,[1]邦达数据库!$A:$A,[1]邦达数据库!$C:$C)</f>
        <v>#N/A</v>
      </c>
    </row>
    <row r="1027" ht="30" customHeight="1" spans="1:6">
      <c r="A1027" s="2" t="s">
        <v>2365</v>
      </c>
      <c r="B1027" s="3" t="s">
        <v>2363</v>
      </c>
      <c r="C1027" s="3" t="s">
        <v>63</v>
      </c>
      <c r="D1027" s="3" t="s">
        <v>243</v>
      </c>
      <c r="E1027" s="3" t="s">
        <v>244</v>
      </c>
      <c r="F1027" t="e">
        <f>_xlfn.XLOOKUP(A1027,[1]邦达数据库!$A:$A,[1]邦达数据库!$C:$C)</f>
        <v>#N/A</v>
      </c>
    </row>
    <row r="1028" ht="30" customHeight="1" spans="1:6">
      <c r="A1028" s="4" t="s">
        <v>2366</v>
      </c>
      <c r="B1028" s="5" t="s">
        <v>2367</v>
      </c>
      <c r="C1028" s="5" t="s">
        <v>1578</v>
      </c>
      <c r="D1028" s="5" t="s">
        <v>521</v>
      </c>
      <c r="E1028" s="5" t="s">
        <v>522</v>
      </c>
      <c r="F1028" t="e">
        <f>_xlfn.XLOOKUP(A1028,[1]邦达数据库!$A:$A,[1]邦达数据库!$C:$C)</f>
        <v>#N/A</v>
      </c>
    </row>
    <row r="1029" ht="30" customHeight="1" spans="1:6">
      <c r="A1029" s="2" t="s">
        <v>2368</v>
      </c>
      <c r="B1029" s="3" t="s">
        <v>2369</v>
      </c>
      <c r="C1029" s="3" t="s">
        <v>2370</v>
      </c>
      <c r="D1029" s="3" t="s">
        <v>794</v>
      </c>
      <c r="E1029" s="3" t="s">
        <v>795</v>
      </c>
      <c r="F1029" t="e">
        <f>_xlfn.XLOOKUP(A1029,[1]邦达数据库!$A:$A,[1]邦达数据库!$C:$C)</f>
        <v>#N/A</v>
      </c>
    </row>
    <row r="1030" ht="30" customHeight="1" spans="1:6">
      <c r="A1030" s="4" t="s">
        <v>2371</v>
      </c>
      <c r="B1030" s="5" t="s">
        <v>2372</v>
      </c>
      <c r="C1030" s="5" t="s">
        <v>2373</v>
      </c>
      <c r="D1030" s="5" t="s">
        <v>719</v>
      </c>
      <c r="E1030" s="5" t="s">
        <v>720</v>
      </c>
      <c r="F1030" t="e">
        <f>_xlfn.XLOOKUP(A1030,[1]邦达数据库!$A:$A,[1]邦达数据库!$C:$C)</f>
        <v>#N/A</v>
      </c>
    </row>
    <row r="1031" ht="30" customHeight="1" spans="1:6">
      <c r="A1031" s="2" t="s">
        <v>2374</v>
      </c>
      <c r="B1031" s="3" t="s">
        <v>2372</v>
      </c>
      <c r="C1031" s="3" t="s">
        <v>2373</v>
      </c>
      <c r="D1031" s="3" t="s">
        <v>719</v>
      </c>
      <c r="E1031" s="3" t="s">
        <v>720</v>
      </c>
      <c r="F1031" t="e">
        <f>_xlfn.XLOOKUP(A1031,[1]邦达数据库!$A:$A,[1]邦达数据库!$C:$C)</f>
        <v>#N/A</v>
      </c>
    </row>
    <row r="1032" ht="30" customHeight="1" spans="1:6">
      <c r="A1032" s="4" t="s">
        <v>2375</v>
      </c>
      <c r="B1032" s="5" t="s">
        <v>2372</v>
      </c>
      <c r="C1032" s="5" t="s">
        <v>2373</v>
      </c>
      <c r="D1032" s="5" t="s">
        <v>719</v>
      </c>
      <c r="E1032" s="5" t="s">
        <v>720</v>
      </c>
      <c r="F1032" t="e">
        <f>_xlfn.XLOOKUP(A1032,[1]邦达数据库!$A:$A,[1]邦达数据库!$C:$C)</f>
        <v>#N/A</v>
      </c>
    </row>
    <row r="1033" ht="30" customHeight="1" spans="1:6">
      <c r="A1033" s="2" t="s">
        <v>2376</v>
      </c>
      <c r="B1033" s="3" t="s">
        <v>2372</v>
      </c>
      <c r="C1033" s="3" t="s">
        <v>2373</v>
      </c>
      <c r="D1033" s="3" t="s">
        <v>719</v>
      </c>
      <c r="E1033" s="3" t="s">
        <v>720</v>
      </c>
      <c r="F1033" t="e">
        <f>_xlfn.XLOOKUP(A1033,[1]邦达数据库!$A:$A,[1]邦达数据库!$C:$C)</f>
        <v>#N/A</v>
      </c>
    </row>
    <row r="1034" ht="30" customHeight="1" spans="1:6">
      <c r="A1034" s="4" t="s">
        <v>2377</v>
      </c>
      <c r="B1034" s="5" t="s">
        <v>2372</v>
      </c>
      <c r="C1034" s="5" t="s">
        <v>2373</v>
      </c>
      <c r="D1034" s="5" t="s">
        <v>719</v>
      </c>
      <c r="E1034" s="5" t="s">
        <v>720</v>
      </c>
      <c r="F1034" t="e">
        <f>_xlfn.XLOOKUP(A1034,[1]邦达数据库!$A:$A,[1]邦达数据库!$C:$C)</f>
        <v>#N/A</v>
      </c>
    </row>
    <row r="1035" ht="30" customHeight="1" spans="1:6">
      <c r="A1035" s="2" t="s">
        <v>2378</v>
      </c>
      <c r="B1035" s="3" t="s">
        <v>2379</v>
      </c>
      <c r="C1035" s="3" t="s">
        <v>699</v>
      </c>
      <c r="D1035" s="3" t="s">
        <v>79</v>
      </c>
      <c r="E1035" s="3" t="s">
        <v>80</v>
      </c>
      <c r="F1035" t="e">
        <f>_xlfn.XLOOKUP(A1035,[1]邦达数据库!$A:$A,[1]邦达数据库!$C:$C)</f>
        <v>#N/A</v>
      </c>
    </row>
    <row r="1036" ht="30" customHeight="1" spans="1:6">
      <c r="A1036" s="4" t="s">
        <v>2380</v>
      </c>
      <c r="B1036" s="5" t="s">
        <v>2379</v>
      </c>
      <c r="C1036" s="5" t="s">
        <v>699</v>
      </c>
      <c r="D1036" s="5" t="s">
        <v>711</v>
      </c>
      <c r="E1036" s="5" t="s">
        <v>712</v>
      </c>
      <c r="F1036" t="e">
        <f>_xlfn.XLOOKUP(A1036,[1]邦达数据库!$A:$A,[1]邦达数据库!$C:$C)</f>
        <v>#N/A</v>
      </c>
    </row>
    <row r="1037" ht="30" customHeight="1" spans="1:6">
      <c r="A1037" s="2" t="s">
        <v>2381</v>
      </c>
      <c r="B1037" s="3" t="s">
        <v>2379</v>
      </c>
      <c r="C1037" s="3" t="s">
        <v>699</v>
      </c>
      <c r="D1037" s="3" t="s">
        <v>79</v>
      </c>
      <c r="E1037" s="3" t="s">
        <v>80</v>
      </c>
      <c r="F1037" t="e">
        <f>_xlfn.XLOOKUP(A1037,[1]邦达数据库!$A:$A,[1]邦达数据库!$C:$C)</f>
        <v>#N/A</v>
      </c>
    </row>
    <row r="1038" ht="30" customHeight="1" spans="1:6">
      <c r="A1038" s="4" t="s">
        <v>2382</v>
      </c>
      <c r="B1038" s="5" t="s">
        <v>2383</v>
      </c>
      <c r="C1038" s="5" t="s">
        <v>1447</v>
      </c>
      <c r="D1038" s="5" t="s">
        <v>314</v>
      </c>
      <c r="E1038" s="5" t="s">
        <v>315</v>
      </c>
      <c r="F1038" t="e">
        <f>_xlfn.XLOOKUP(A1038,[1]邦达数据库!$A:$A,[1]邦达数据库!$C:$C)</f>
        <v>#N/A</v>
      </c>
    </row>
    <row r="1039" ht="30" customHeight="1" spans="1:6">
      <c r="A1039" s="2" t="s">
        <v>2384</v>
      </c>
      <c r="B1039" s="3" t="s">
        <v>2385</v>
      </c>
      <c r="C1039" s="3" t="s">
        <v>2386</v>
      </c>
      <c r="D1039" s="3" t="s">
        <v>1081</v>
      </c>
      <c r="E1039" s="3" t="s">
        <v>1082</v>
      </c>
      <c r="F1039" t="e">
        <f>_xlfn.XLOOKUP(A1039,[1]邦达数据库!$A:$A,[1]邦达数据库!$C:$C)</f>
        <v>#N/A</v>
      </c>
    </row>
    <row r="1040" ht="30" customHeight="1" spans="1:6">
      <c r="A1040" s="4" t="s">
        <v>2387</v>
      </c>
      <c r="B1040" s="5" t="s">
        <v>2388</v>
      </c>
      <c r="C1040" s="5" t="s">
        <v>2389</v>
      </c>
      <c r="D1040" s="5" t="s">
        <v>2390</v>
      </c>
      <c r="E1040" s="5" t="s">
        <v>2391</v>
      </c>
      <c r="F1040" t="e">
        <f>_xlfn.XLOOKUP(A1040,[1]邦达数据库!$A:$A,[1]邦达数据库!$C:$C)</f>
        <v>#N/A</v>
      </c>
    </row>
    <row r="1041" ht="30" customHeight="1" spans="1:6">
      <c r="A1041" s="2" t="s">
        <v>2392</v>
      </c>
      <c r="B1041" s="3" t="s">
        <v>2393</v>
      </c>
      <c r="C1041" s="3" t="s">
        <v>2054</v>
      </c>
      <c r="D1041" s="3" t="s">
        <v>2394</v>
      </c>
      <c r="E1041" s="3" t="s">
        <v>2395</v>
      </c>
      <c r="F1041" t="e">
        <f>_xlfn.XLOOKUP(A1041,[1]邦达数据库!$A:$A,[1]邦达数据库!$C:$C)</f>
        <v>#N/A</v>
      </c>
    </row>
    <row r="1042" ht="30" customHeight="1" spans="1:6">
      <c r="A1042" s="4" t="s">
        <v>2396</v>
      </c>
      <c r="B1042" s="5" t="s">
        <v>2393</v>
      </c>
      <c r="C1042" s="5" t="s">
        <v>2054</v>
      </c>
      <c r="D1042" s="5" t="s">
        <v>2397</v>
      </c>
      <c r="E1042" s="5" t="s">
        <v>2398</v>
      </c>
      <c r="F1042" t="e">
        <f>_xlfn.XLOOKUP(A1042,[1]邦达数据库!$A:$A,[1]邦达数据库!$C:$C)</f>
        <v>#N/A</v>
      </c>
    </row>
    <row r="1043" ht="30" customHeight="1" spans="1:6">
      <c r="A1043" s="2" t="s">
        <v>2399</v>
      </c>
      <c r="B1043" s="3" t="s">
        <v>545</v>
      </c>
      <c r="C1043" s="3" t="s">
        <v>546</v>
      </c>
      <c r="D1043" s="3" t="s">
        <v>2400</v>
      </c>
      <c r="E1043" s="3" t="s">
        <v>2401</v>
      </c>
      <c r="F1043" t="e">
        <f>_xlfn.XLOOKUP(A1043,[1]邦达数据库!$A:$A,[1]邦达数据库!$C:$C)</f>
        <v>#N/A</v>
      </c>
    </row>
    <row r="1044" ht="30" customHeight="1" spans="1:6">
      <c r="A1044" s="4" t="s">
        <v>2402</v>
      </c>
      <c r="B1044" s="5" t="s">
        <v>2403</v>
      </c>
      <c r="C1044" s="5" t="s">
        <v>1108</v>
      </c>
      <c r="D1044" s="5" t="s">
        <v>1856</v>
      </c>
      <c r="E1044" s="5" t="s">
        <v>1857</v>
      </c>
      <c r="F1044" t="e">
        <f>_xlfn.XLOOKUP(A1044,[1]邦达数据库!$A:$A,[1]邦达数据库!$C:$C)</f>
        <v>#N/A</v>
      </c>
    </row>
    <row r="1045" ht="30" customHeight="1" spans="1:6">
      <c r="A1045" s="2" t="s">
        <v>2404</v>
      </c>
      <c r="B1045" s="3" t="s">
        <v>2405</v>
      </c>
      <c r="C1045" s="3" t="s">
        <v>2406</v>
      </c>
      <c r="D1045" s="3" t="s">
        <v>1460</v>
      </c>
      <c r="E1045" s="3" t="s">
        <v>1461</v>
      </c>
      <c r="F1045" t="e">
        <f>_xlfn.XLOOKUP(A1045,[1]邦达数据库!$A:$A,[1]邦达数据库!$C:$C)</f>
        <v>#N/A</v>
      </c>
    </row>
    <row r="1046" ht="30" customHeight="1" spans="1:6">
      <c r="A1046" s="4" t="s">
        <v>2407</v>
      </c>
      <c r="B1046" s="5" t="s">
        <v>731</v>
      </c>
      <c r="C1046" s="5" t="s">
        <v>2408</v>
      </c>
      <c r="D1046" s="5" t="s">
        <v>618</v>
      </c>
      <c r="E1046" s="5" t="s">
        <v>619</v>
      </c>
      <c r="F1046" t="e">
        <f>_xlfn.XLOOKUP(A1046,[1]邦达数据库!$A:$A,[1]邦达数据库!$C:$C)</f>
        <v>#N/A</v>
      </c>
    </row>
    <row r="1047" ht="30" customHeight="1" spans="1:6">
      <c r="A1047" s="2" t="s">
        <v>2409</v>
      </c>
      <c r="B1047" s="3" t="s">
        <v>731</v>
      </c>
      <c r="C1047" s="3" t="s">
        <v>2408</v>
      </c>
      <c r="D1047" s="3" t="s">
        <v>618</v>
      </c>
      <c r="E1047" s="3" t="s">
        <v>619</v>
      </c>
      <c r="F1047" t="e">
        <f>_xlfn.XLOOKUP(A1047,[1]邦达数据库!$A:$A,[1]邦达数据库!$C:$C)</f>
        <v>#N/A</v>
      </c>
    </row>
    <row r="1048" ht="30" customHeight="1" spans="1:6">
      <c r="A1048" s="4" t="s">
        <v>2410</v>
      </c>
      <c r="B1048" s="5" t="s">
        <v>731</v>
      </c>
      <c r="C1048" s="5" t="s">
        <v>1447</v>
      </c>
      <c r="D1048" s="5" t="s">
        <v>404</v>
      </c>
      <c r="E1048" s="5" t="s">
        <v>405</v>
      </c>
      <c r="F1048" t="str">
        <f>_xlfn.XLOOKUP(A1048,[1]邦达数据库!$A:$A,[1]邦达数据库!$C:$C)</f>
        <v>8443.39.0000</v>
      </c>
    </row>
    <row r="1049" ht="30" customHeight="1" spans="1:6">
      <c r="A1049" s="2" t="s">
        <v>2411</v>
      </c>
      <c r="B1049" s="3" t="s">
        <v>731</v>
      </c>
      <c r="C1049" s="3" t="s">
        <v>1447</v>
      </c>
      <c r="D1049" s="3" t="s">
        <v>1655</v>
      </c>
      <c r="E1049" s="3" t="s">
        <v>1656</v>
      </c>
      <c r="F1049" t="str">
        <f>_xlfn.XLOOKUP(A1049,[1]邦达数据库!$A:$A,[1]邦达数据库!$C:$C)</f>
        <v>8443.39.0000</v>
      </c>
    </row>
    <row r="1050" ht="30" customHeight="1" spans="1:6">
      <c r="A1050" s="4" t="s">
        <v>2412</v>
      </c>
      <c r="B1050" s="5" t="s">
        <v>2413</v>
      </c>
      <c r="C1050" s="5" t="s">
        <v>2414</v>
      </c>
      <c r="D1050" s="5" t="s">
        <v>170</v>
      </c>
      <c r="E1050" s="5" t="s">
        <v>171</v>
      </c>
      <c r="F1050" t="e">
        <f>_xlfn.XLOOKUP(A1050,[1]邦达数据库!$A:$A,[1]邦达数据库!$C:$C)</f>
        <v>#N/A</v>
      </c>
    </row>
    <row r="1051" ht="30" customHeight="1" spans="1:6">
      <c r="A1051" s="2" t="s">
        <v>2415</v>
      </c>
      <c r="B1051" s="3" t="s">
        <v>2413</v>
      </c>
      <c r="C1051" s="3" t="s">
        <v>2414</v>
      </c>
      <c r="D1051" s="3" t="s">
        <v>2416</v>
      </c>
      <c r="E1051" s="3" t="s">
        <v>2417</v>
      </c>
      <c r="F1051" t="e">
        <f>_xlfn.XLOOKUP(A1051,[1]邦达数据库!$A:$A,[1]邦达数据库!$C:$C)</f>
        <v>#N/A</v>
      </c>
    </row>
    <row r="1052" ht="30" customHeight="1" spans="1:6">
      <c r="A1052" s="4" t="s">
        <v>2418</v>
      </c>
      <c r="B1052" s="5" t="s">
        <v>2413</v>
      </c>
      <c r="C1052" s="5" t="s">
        <v>2414</v>
      </c>
      <c r="D1052" s="5" t="s">
        <v>319</v>
      </c>
      <c r="E1052" s="5" t="s">
        <v>320</v>
      </c>
      <c r="F1052" t="e">
        <f>_xlfn.XLOOKUP(A1052,[1]邦达数据库!$A:$A,[1]邦达数据库!$C:$C)</f>
        <v>#N/A</v>
      </c>
    </row>
    <row r="1053" ht="30" customHeight="1" spans="1:6">
      <c r="A1053" s="2" t="s">
        <v>2419</v>
      </c>
      <c r="B1053" s="3" t="s">
        <v>2413</v>
      </c>
      <c r="C1053" s="3" t="s">
        <v>2414</v>
      </c>
      <c r="D1053" s="3" t="s">
        <v>2420</v>
      </c>
      <c r="E1053" s="3" t="s">
        <v>2421</v>
      </c>
      <c r="F1053" t="e">
        <f>_xlfn.XLOOKUP(A1053,[1]邦达数据库!$A:$A,[1]邦达数据库!$C:$C)</f>
        <v>#N/A</v>
      </c>
    </row>
    <row r="1054" ht="30" customHeight="1" spans="1:6">
      <c r="A1054" s="4" t="s">
        <v>2422</v>
      </c>
      <c r="B1054" s="5" t="s">
        <v>2413</v>
      </c>
      <c r="C1054" s="5" t="s">
        <v>2414</v>
      </c>
      <c r="D1054" s="5" t="s">
        <v>223</v>
      </c>
      <c r="E1054" s="5" t="s">
        <v>224</v>
      </c>
      <c r="F1054" t="e">
        <f>_xlfn.XLOOKUP(A1054,[1]邦达数据库!$A:$A,[1]邦达数据库!$C:$C)</f>
        <v>#N/A</v>
      </c>
    </row>
    <row r="1055" ht="30" customHeight="1" spans="1:6">
      <c r="A1055" s="2" t="s">
        <v>2423</v>
      </c>
      <c r="B1055" s="3" t="s">
        <v>2413</v>
      </c>
      <c r="C1055" s="3" t="s">
        <v>2414</v>
      </c>
      <c r="D1055" s="3" t="s">
        <v>2424</v>
      </c>
      <c r="E1055" s="3" t="s">
        <v>2425</v>
      </c>
      <c r="F1055" t="e">
        <f>_xlfn.XLOOKUP(A1055,[1]邦达数据库!$A:$A,[1]邦达数据库!$C:$C)</f>
        <v>#N/A</v>
      </c>
    </row>
    <row r="1056" ht="30" customHeight="1" spans="1:6">
      <c r="A1056" s="4" t="s">
        <v>2426</v>
      </c>
      <c r="B1056" s="5" t="s">
        <v>2427</v>
      </c>
      <c r="C1056" s="5" t="s">
        <v>2428</v>
      </c>
      <c r="D1056" s="5" t="s">
        <v>1000</v>
      </c>
      <c r="E1056" s="5" t="s">
        <v>1001</v>
      </c>
      <c r="F1056" t="e">
        <f>_xlfn.XLOOKUP(A1056,[1]邦达数据库!$A:$A,[1]邦达数据库!$C:$C)</f>
        <v>#N/A</v>
      </c>
    </row>
    <row r="1057" ht="30" customHeight="1" spans="1:6">
      <c r="A1057" s="2" t="s">
        <v>2429</v>
      </c>
      <c r="B1057" s="3" t="s">
        <v>2427</v>
      </c>
      <c r="C1057" s="3" t="s">
        <v>2430</v>
      </c>
      <c r="D1057" s="3" t="s">
        <v>1640</v>
      </c>
      <c r="E1057" s="3" t="s">
        <v>1641</v>
      </c>
      <c r="F1057" t="e">
        <f>_xlfn.XLOOKUP(A1057,[1]邦达数据库!$A:$A,[1]邦达数据库!$C:$C)</f>
        <v>#N/A</v>
      </c>
    </row>
    <row r="1058" ht="30" customHeight="1" spans="1:6">
      <c r="A1058" s="4" t="s">
        <v>2431</v>
      </c>
      <c r="B1058" s="5" t="s">
        <v>2427</v>
      </c>
      <c r="C1058" s="5" t="s">
        <v>2428</v>
      </c>
      <c r="D1058" s="5" t="s">
        <v>568</v>
      </c>
      <c r="E1058" s="5" t="s">
        <v>569</v>
      </c>
      <c r="F1058" t="e">
        <f>_xlfn.XLOOKUP(A1058,[1]邦达数据库!$A:$A,[1]邦达数据库!$C:$C)</f>
        <v>#N/A</v>
      </c>
    </row>
    <row r="1059" ht="30" customHeight="1" spans="1:6">
      <c r="A1059" s="2" t="s">
        <v>2432</v>
      </c>
      <c r="B1059" s="3" t="s">
        <v>2427</v>
      </c>
      <c r="C1059" s="3" t="s">
        <v>2430</v>
      </c>
      <c r="D1059" s="3" t="s">
        <v>243</v>
      </c>
      <c r="E1059" s="3" t="s">
        <v>244</v>
      </c>
      <c r="F1059" t="e">
        <f>_xlfn.XLOOKUP(A1059,[1]邦达数据库!$A:$A,[1]邦达数据库!$C:$C)</f>
        <v>#N/A</v>
      </c>
    </row>
    <row r="1060" ht="30" customHeight="1" spans="1:6">
      <c r="A1060" s="4" t="s">
        <v>2433</v>
      </c>
      <c r="B1060" s="5" t="s">
        <v>2427</v>
      </c>
      <c r="C1060" s="5" t="s">
        <v>2428</v>
      </c>
      <c r="D1060" s="5" t="s">
        <v>243</v>
      </c>
      <c r="E1060" s="5" t="s">
        <v>244</v>
      </c>
      <c r="F1060" t="e">
        <f>_xlfn.XLOOKUP(A1060,[1]邦达数据库!$A:$A,[1]邦达数据库!$C:$C)</f>
        <v>#N/A</v>
      </c>
    </row>
    <row r="1061" ht="30" customHeight="1" spans="1:6">
      <c r="A1061" s="2" t="s">
        <v>2434</v>
      </c>
      <c r="B1061" s="3" t="s">
        <v>2427</v>
      </c>
      <c r="C1061" s="3" t="s">
        <v>2430</v>
      </c>
      <c r="D1061" s="3" t="s">
        <v>1052</v>
      </c>
      <c r="E1061" s="3" t="s">
        <v>1053</v>
      </c>
      <c r="F1061" t="e">
        <f>_xlfn.XLOOKUP(A1061,[1]邦达数据库!$A:$A,[1]邦达数据库!$C:$C)</f>
        <v>#N/A</v>
      </c>
    </row>
    <row r="1062" ht="30" customHeight="1" spans="1:6">
      <c r="A1062" s="4" t="s">
        <v>2435</v>
      </c>
      <c r="B1062" s="5" t="s">
        <v>1614</v>
      </c>
      <c r="C1062" s="5" t="s">
        <v>300</v>
      </c>
      <c r="D1062" s="5" t="s">
        <v>719</v>
      </c>
      <c r="E1062" s="5" t="s">
        <v>720</v>
      </c>
      <c r="F1062" t="e">
        <f>_xlfn.XLOOKUP(A1062,[1]邦达数据库!$A:$A,[1]邦达数据库!$C:$C)</f>
        <v>#N/A</v>
      </c>
    </row>
    <row r="1063" ht="30" customHeight="1" spans="1:6">
      <c r="A1063" s="2" t="s">
        <v>2436</v>
      </c>
      <c r="B1063" s="3" t="s">
        <v>1614</v>
      </c>
      <c r="C1063" s="3" t="s">
        <v>300</v>
      </c>
      <c r="D1063" s="3" t="s">
        <v>1104</v>
      </c>
      <c r="E1063" s="3" t="s">
        <v>1105</v>
      </c>
      <c r="F1063" t="e">
        <f>_xlfn.XLOOKUP(A1063,[1]邦达数据库!$A:$A,[1]邦达数据库!$C:$C)</f>
        <v>#N/A</v>
      </c>
    </row>
    <row r="1064" ht="30" customHeight="1" spans="1:6">
      <c r="A1064" s="4" t="s">
        <v>2437</v>
      </c>
      <c r="B1064" s="5" t="s">
        <v>1614</v>
      </c>
      <c r="C1064" s="5" t="s">
        <v>300</v>
      </c>
      <c r="D1064" s="5" t="s">
        <v>719</v>
      </c>
      <c r="E1064" s="5" t="s">
        <v>720</v>
      </c>
      <c r="F1064" t="e">
        <f>_xlfn.XLOOKUP(A1064,[1]邦达数据库!$A:$A,[1]邦达数据库!$C:$C)</f>
        <v>#N/A</v>
      </c>
    </row>
    <row r="1065" ht="30" customHeight="1" spans="1:6">
      <c r="A1065" s="2" t="s">
        <v>2438</v>
      </c>
      <c r="B1065" s="3" t="s">
        <v>1614</v>
      </c>
      <c r="C1065" s="3" t="s">
        <v>300</v>
      </c>
      <c r="D1065" s="3" t="s">
        <v>719</v>
      </c>
      <c r="E1065" s="3" t="s">
        <v>720</v>
      </c>
      <c r="F1065" t="e">
        <f>_xlfn.XLOOKUP(A1065,[1]邦达数据库!$A:$A,[1]邦达数据库!$C:$C)</f>
        <v>#N/A</v>
      </c>
    </row>
    <row r="1066" ht="30" customHeight="1" spans="1:6">
      <c r="A1066" s="4" t="s">
        <v>2439</v>
      </c>
      <c r="B1066" s="5" t="s">
        <v>1466</v>
      </c>
      <c r="C1066" s="5" t="s">
        <v>88</v>
      </c>
      <c r="D1066" s="5" t="s">
        <v>2440</v>
      </c>
      <c r="E1066" s="5" t="s">
        <v>2441</v>
      </c>
      <c r="F1066" t="e">
        <f>_xlfn.XLOOKUP(A1066,[1]邦达数据库!$A:$A,[1]邦达数据库!$C:$C)</f>
        <v>#N/A</v>
      </c>
    </row>
    <row r="1067" ht="30" customHeight="1" spans="1:6">
      <c r="A1067" s="2" t="s">
        <v>2442</v>
      </c>
      <c r="B1067" s="3" t="s">
        <v>2443</v>
      </c>
      <c r="C1067" s="3" t="s">
        <v>221</v>
      </c>
      <c r="D1067" s="3" t="s">
        <v>2444</v>
      </c>
      <c r="E1067" s="3" t="s">
        <v>2445</v>
      </c>
      <c r="F1067" t="e">
        <f>_xlfn.XLOOKUP(A1067,[1]邦达数据库!$A:$A,[1]邦达数据库!$C:$C)</f>
        <v>#N/A</v>
      </c>
    </row>
    <row r="1068" ht="30" customHeight="1" spans="1:6">
      <c r="A1068" s="4" t="s">
        <v>2446</v>
      </c>
      <c r="B1068" s="5" t="s">
        <v>2343</v>
      </c>
      <c r="C1068" s="5" t="s">
        <v>865</v>
      </c>
      <c r="D1068" s="5" t="s">
        <v>1319</v>
      </c>
      <c r="E1068" s="5" t="s">
        <v>1320</v>
      </c>
      <c r="F1068" t="e">
        <f>_xlfn.XLOOKUP(A1068,[1]邦达数据库!$A:$A,[1]邦达数据库!$C:$C)</f>
        <v>#N/A</v>
      </c>
    </row>
    <row r="1069" ht="30" customHeight="1" spans="1:6">
      <c r="A1069" s="2" t="s">
        <v>2447</v>
      </c>
      <c r="B1069" s="3" t="s">
        <v>2343</v>
      </c>
      <c r="C1069" s="3" t="s">
        <v>2448</v>
      </c>
      <c r="D1069" s="3" t="s">
        <v>2344</v>
      </c>
      <c r="E1069" s="3" t="s">
        <v>2345</v>
      </c>
      <c r="F1069" t="e">
        <f>_xlfn.XLOOKUP(A1069,[1]邦达数据库!$A:$A,[1]邦达数据库!$C:$C)</f>
        <v>#N/A</v>
      </c>
    </row>
    <row r="1070" ht="30" customHeight="1" spans="1:6">
      <c r="A1070" s="4" t="s">
        <v>2449</v>
      </c>
      <c r="B1070" s="5" t="s">
        <v>2343</v>
      </c>
      <c r="C1070" s="5" t="s">
        <v>2448</v>
      </c>
      <c r="D1070" s="5" t="s">
        <v>2344</v>
      </c>
      <c r="E1070" s="5" t="s">
        <v>2345</v>
      </c>
      <c r="F1070" t="e">
        <f>_xlfn.XLOOKUP(A1070,[1]邦达数据库!$A:$A,[1]邦达数据库!$C:$C)</f>
        <v>#N/A</v>
      </c>
    </row>
    <row r="1071" ht="30" customHeight="1" spans="1:6">
      <c r="A1071" s="2" t="s">
        <v>2450</v>
      </c>
      <c r="B1071" s="3" t="s">
        <v>2451</v>
      </c>
      <c r="C1071" s="3" t="s">
        <v>325</v>
      </c>
      <c r="D1071" s="3" t="s">
        <v>521</v>
      </c>
      <c r="E1071" s="3" t="s">
        <v>522</v>
      </c>
      <c r="F1071" t="e">
        <f>_xlfn.XLOOKUP(A1071,[1]邦达数据库!$A:$A,[1]邦达数据库!$C:$C)</f>
        <v>#N/A</v>
      </c>
    </row>
    <row r="1072" ht="30" customHeight="1" spans="1:6">
      <c r="A1072" s="4" t="s">
        <v>2452</v>
      </c>
      <c r="B1072" s="5" t="s">
        <v>2453</v>
      </c>
      <c r="C1072" s="5" t="s">
        <v>2454</v>
      </c>
      <c r="D1072" s="5" t="s">
        <v>521</v>
      </c>
      <c r="E1072" s="5" t="s">
        <v>522</v>
      </c>
      <c r="F1072" t="e">
        <f>_xlfn.XLOOKUP(A1072,[1]邦达数据库!$A:$A,[1]邦达数据库!$C:$C)</f>
        <v>#N/A</v>
      </c>
    </row>
    <row r="1073" ht="30" customHeight="1" spans="1:6">
      <c r="A1073" s="2" t="s">
        <v>2455</v>
      </c>
      <c r="B1073" s="3" t="s">
        <v>2456</v>
      </c>
      <c r="C1073" s="3" t="s">
        <v>1447</v>
      </c>
      <c r="D1073" s="3" t="s">
        <v>104</v>
      </c>
      <c r="E1073" s="3" t="s">
        <v>105</v>
      </c>
      <c r="F1073" t="e">
        <f>_xlfn.XLOOKUP(A1073,[1]邦达数据库!$A:$A,[1]邦达数据库!$C:$C)</f>
        <v>#N/A</v>
      </c>
    </row>
    <row r="1074" ht="30" customHeight="1" spans="1:6">
      <c r="A1074" s="4" t="s">
        <v>2457</v>
      </c>
      <c r="B1074" s="5" t="s">
        <v>2458</v>
      </c>
      <c r="C1074" s="5" t="s">
        <v>1464</v>
      </c>
      <c r="D1074" s="5" t="s">
        <v>2459</v>
      </c>
      <c r="E1074" s="5" t="s">
        <v>2460</v>
      </c>
      <c r="F1074" t="e">
        <f>_xlfn.XLOOKUP(A1074,[1]邦达数据库!$A:$A,[1]邦达数据库!$C:$C)</f>
        <v>#N/A</v>
      </c>
    </row>
    <row r="1075" ht="30" customHeight="1" spans="1:6">
      <c r="A1075" s="2" t="s">
        <v>2461</v>
      </c>
      <c r="B1075" s="3" t="s">
        <v>2462</v>
      </c>
      <c r="C1075" s="3" t="s">
        <v>17</v>
      </c>
      <c r="D1075" s="3" t="s">
        <v>482</v>
      </c>
      <c r="E1075" s="3" t="s">
        <v>483</v>
      </c>
      <c r="F1075" t="e">
        <f>_xlfn.XLOOKUP(A1075,[1]邦达数据库!$A:$A,[1]邦达数据库!$C:$C)</f>
        <v>#N/A</v>
      </c>
    </row>
    <row r="1076" ht="30" customHeight="1" spans="1:6">
      <c r="A1076" s="4" t="s">
        <v>2463</v>
      </c>
      <c r="B1076" s="5" t="s">
        <v>2462</v>
      </c>
      <c r="C1076" s="5" t="s">
        <v>17</v>
      </c>
      <c r="D1076" s="5" t="s">
        <v>2464</v>
      </c>
      <c r="E1076" s="5" t="s">
        <v>2465</v>
      </c>
      <c r="F1076" t="e">
        <f>_xlfn.XLOOKUP(A1076,[1]邦达数据库!$A:$A,[1]邦达数据库!$C:$C)</f>
        <v>#N/A</v>
      </c>
    </row>
    <row r="1077" ht="30" customHeight="1" spans="1:6">
      <c r="A1077" s="2" t="s">
        <v>2466</v>
      </c>
      <c r="B1077" s="3" t="s">
        <v>2467</v>
      </c>
      <c r="C1077" s="3" t="s">
        <v>340</v>
      </c>
      <c r="D1077" s="3" t="s">
        <v>404</v>
      </c>
      <c r="E1077" s="3" t="s">
        <v>405</v>
      </c>
      <c r="F1077" t="e">
        <f>_xlfn.XLOOKUP(A1077,[1]邦达数据库!$A:$A,[1]邦达数据库!$C:$C)</f>
        <v>#N/A</v>
      </c>
    </row>
    <row r="1078" ht="30" customHeight="1" spans="1:6">
      <c r="A1078" s="4" t="s">
        <v>2468</v>
      </c>
      <c r="B1078" s="5" t="s">
        <v>2467</v>
      </c>
      <c r="C1078" s="5" t="s">
        <v>340</v>
      </c>
      <c r="D1078" s="5" t="s">
        <v>404</v>
      </c>
      <c r="E1078" s="5" t="s">
        <v>405</v>
      </c>
      <c r="F1078" t="e">
        <f>_xlfn.XLOOKUP(A1078,[1]邦达数据库!$A:$A,[1]邦达数据库!$C:$C)</f>
        <v>#N/A</v>
      </c>
    </row>
    <row r="1079" ht="30" customHeight="1" spans="1:6">
      <c r="A1079" s="2" t="s">
        <v>2469</v>
      </c>
      <c r="B1079" s="3" t="s">
        <v>2470</v>
      </c>
      <c r="C1079" s="3" t="s">
        <v>335</v>
      </c>
      <c r="D1079" s="3" t="s">
        <v>404</v>
      </c>
      <c r="E1079" s="3" t="s">
        <v>405</v>
      </c>
      <c r="F1079" t="e">
        <f>_xlfn.XLOOKUP(A1079,[1]邦达数据库!$A:$A,[1]邦达数据库!$C:$C)</f>
        <v>#N/A</v>
      </c>
    </row>
    <row r="1080" ht="30" customHeight="1" spans="1:6">
      <c r="A1080" s="4" t="s">
        <v>2471</v>
      </c>
      <c r="B1080" s="5" t="s">
        <v>2470</v>
      </c>
      <c r="C1080" s="5" t="s">
        <v>335</v>
      </c>
      <c r="D1080" s="5" t="s">
        <v>404</v>
      </c>
      <c r="E1080" s="5" t="s">
        <v>405</v>
      </c>
      <c r="F1080" t="e">
        <f>_xlfn.XLOOKUP(A1080,[1]邦达数据库!$A:$A,[1]邦达数据库!$C:$C)</f>
        <v>#N/A</v>
      </c>
    </row>
    <row r="1081" ht="30" customHeight="1" spans="1:6">
      <c r="A1081" s="2" t="s">
        <v>2472</v>
      </c>
      <c r="B1081" s="3" t="s">
        <v>2473</v>
      </c>
      <c r="C1081" s="3" t="s">
        <v>17</v>
      </c>
      <c r="D1081" s="3" t="s">
        <v>217</v>
      </c>
      <c r="E1081" s="3" t="s">
        <v>218</v>
      </c>
      <c r="F1081" t="e">
        <f>_xlfn.XLOOKUP(A1081,[1]邦达数据库!$A:$A,[1]邦达数据库!$C:$C)</f>
        <v>#N/A</v>
      </c>
    </row>
    <row r="1082" ht="30" customHeight="1" spans="1:6">
      <c r="A1082" s="4" t="s">
        <v>2474</v>
      </c>
      <c r="B1082" s="5" t="s">
        <v>2473</v>
      </c>
      <c r="C1082" s="5" t="s">
        <v>17</v>
      </c>
      <c r="D1082" s="5" t="s">
        <v>217</v>
      </c>
      <c r="E1082" s="5" t="s">
        <v>218</v>
      </c>
      <c r="F1082" t="e">
        <f>_xlfn.XLOOKUP(A1082,[1]邦达数据库!$A:$A,[1]邦达数据库!$C:$C)</f>
        <v>#N/A</v>
      </c>
    </row>
    <row r="1083" ht="30" customHeight="1" spans="1:6">
      <c r="A1083" s="2" t="s">
        <v>2475</v>
      </c>
      <c r="B1083" s="3" t="s">
        <v>2476</v>
      </c>
      <c r="C1083" s="3" t="s">
        <v>2477</v>
      </c>
      <c r="D1083" s="3" t="s">
        <v>604</v>
      </c>
      <c r="E1083" s="3" t="s">
        <v>605</v>
      </c>
      <c r="F1083" t="e">
        <f>_xlfn.XLOOKUP(A1083,[1]邦达数据库!$A:$A,[1]邦达数据库!$C:$C)</f>
        <v>#N/A</v>
      </c>
    </row>
    <row r="1084" ht="30" customHeight="1" spans="1:6">
      <c r="A1084" s="4" t="s">
        <v>2478</v>
      </c>
      <c r="B1084" s="5" t="s">
        <v>2479</v>
      </c>
      <c r="C1084" s="5" t="s">
        <v>865</v>
      </c>
      <c r="D1084" s="5" t="s">
        <v>250</v>
      </c>
      <c r="E1084" s="5" t="s">
        <v>251</v>
      </c>
      <c r="F1084" t="e">
        <f>_xlfn.XLOOKUP(A1084,[1]邦达数据库!$A:$A,[1]邦达数据库!$C:$C)</f>
        <v>#N/A</v>
      </c>
    </row>
    <row r="1085" ht="30" customHeight="1" spans="1:6">
      <c r="A1085" s="2" t="s">
        <v>2480</v>
      </c>
      <c r="B1085" s="3" t="s">
        <v>2481</v>
      </c>
      <c r="C1085" s="3" t="s">
        <v>17</v>
      </c>
      <c r="D1085" s="3" t="s">
        <v>280</v>
      </c>
      <c r="E1085" s="3" t="s">
        <v>281</v>
      </c>
      <c r="F1085" t="e">
        <f>_xlfn.XLOOKUP(A1085,[1]邦达数据库!$A:$A,[1]邦达数据库!$C:$C)</f>
        <v>#N/A</v>
      </c>
    </row>
    <row r="1086" ht="30" customHeight="1" spans="1:6">
      <c r="A1086" s="4" t="s">
        <v>2482</v>
      </c>
      <c r="B1086" s="5" t="s">
        <v>2473</v>
      </c>
      <c r="C1086" s="5" t="s">
        <v>17</v>
      </c>
      <c r="D1086" s="5" t="s">
        <v>217</v>
      </c>
      <c r="E1086" s="5" t="s">
        <v>218</v>
      </c>
      <c r="F1086" t="e">
        <f>_xlfn.XLOOKUP(A1086,[1]邦达数据库!$A:$A,[1]邦达数据库!$C:$C)</f>
        <v>#N/A</v>
      </c>
    </row>
    <row r="1087" ht="30" customHeight="1" spans="1:6">
      <c r="A1087" s="2" t="s">
        <v>2483</v>
      </c>
      <c r="B1087" s="3" t="s">
        <v>2484</v>
      </c>
      <c r="C1087" s="3" t="s">
        <v>265</v>
      </c>
      <c r="D1087" s="3" t="s">
        <v>250</v>
      </c>
      <c r="E1087" s="3" t="s">
        <v>251</v>
      </c>
      <c r="F1087" t="e">
        <f>_xlfn.XLOOKUP(A1087,[1]邦达数据库!$A:$A,[1]邦达数据库!$C:$C)</f>
        <v>#N/A</v>
      </c>
    </row>
    <row r="1088" ht="30" customHeight="1" spans="1:6">
      <c r="A1088" s="2" t="s">
        <v>2485</v>
      </c>
      <c r="B1088" s="3" t="s">
        <v>2486</v>
      </c>
      <c r="C1088" s="3" t="s">
        <v>270</v>
      </c>
      <c r="D1088" s="3" t="s">
        <v>568</v>
      </c>
      <c r="E1088" s="3" t="s">
        <v>569</v>
      </c>
      <c r="F1088" t="e">
        <f>_xlfn.XLOOKUP(A1088,[1]邦达数据库!$A:$A,[1]邦达数据库!$C:$C)</f>
        <v>#N/A</v>
      </c>
    </row>
    <row r="1089" ht="30" customHeight="1" spans="1:6">
      <c r="A1089" s="4" t="s">
        <v>2487</v>
      </c>
      <c r="B1089" s="5" t="s">
        <v>2488</v>
      </c>
      <c r="C1089" s="5" t="s">
        <v>2489</v>
      </c>
      <c r="D1089" s="5" t="s">
        <v>582</v>
      </c>
      <c r="E1089" s="5" t="s">
        <v>583</v>
      </c>
      <c r="F1089" t="e">
        <f>_xlfn.XLOOKUP(A1089,[1]邦达数据库!$A:$A,[1]邦达数据库!$C:$C)</f>
        <v>#N/A</v>
      </c>
    </row>
    <row r="1090" ht="30" customHeight="1" spans="1:6">
      <c r="A1090" s="2" t="s">
        <v>2490</v>
      </c>
      <c r="B1090" s="3" t="s">
        <v>2488</v>
      </c>
      <c r="C1090" s="3" t="s">
        <v>2489</v>
      </c>
      <c r="D1090" s="3" t="s">
        <v>2491</v>
      </c>
      <c r="E1090" s="3" t="s">
        <v>2492</v>
      </c>
      <c r="F1090" t="e">
        <f>_xlfn.XLOOKUP(A1090,[1]邦达数据库!$A:$A,[1]邦达数据库!$C:$C)</f>
        <v>#N/A</v>
      </c>
    </row>
    <row r="1091" ht="30" customHeight="1" spans="1:6">
      <c r="A1091" s="4" t="s">
        <v>2493</v>
      </c>
      <c r="B1091" s="5" t="s">
        <v>2175</v>
      </c>
      <c r="C1091" s="5" t="s">
        <v>2176</v>
      </c>
      <c r="D1091" s="5" t="s">
        <v>2177</v>
      </c>
      <c r="E1091" s="5" t="s">
        <v>2178</v>
      </c>
      <c r="F1091" t="e">
        <f>_xlfn.XLOOKUP(A1091,[1]邦达数据库!$A:$A,[1]邦达数据库!$C:$C)</f>
        <v>#N/A</v>
      </c>
    </row>
    <row r="1092" ht="30" customHeight="1" spans="1:6">
      <c r="A1092" s="2" t="s">
        <v>2494</v>
      </c>
      <c r="B1092" s="3" t="s">
        <v>2175</v>
      </c>
      <c r="C1092" s="3" t="s">
        <v>2176</v>
      </c>
      <c r="D1092" s="3" t="s">
        <v>2177</v>
      </c>
      <c r="E1092" s="3" t="s">
        <v>2178</v>
      </c>
      <c r="F1092" t="e">
        <f>_xlfn.XLOOKUP(A1092,[1]邦达数据库!$A:$A,[1]邦达数据库!$C:$C)</f>
        <v>#N/A</v>
      </c>
    </row>
    <row r="1093" ht="30" customHeight="1" spans="1:6">
      <c r="A1093" s="4" t="s">
        <v>2495</v>
      </c>
      <c r="B1093" s="5" t="s">
        <v>2175</v>
      </c>
      <c r="C1093" s="5" t="s">
        <v>2176</v>
      </c>
      <c r="D1093" s="5" t="s">
        <v>2177</v>
      </c>
      <c r="E1093" s="5" t="s">
        <v>2178</v>
      </c>
      <c r="F1093" t="e">
        <f>_xlfn.XLOOKUP(A1093,[1]邦达数据库!$A:$A,[1]邦达数据库!$C:$C)</f>
        <v>#N/A</v>
      </c>
    </row>
    <row r="1094" ht="30" customHeight="1" spans="1:6">
      <c r="A1094" s="2" t="s">
        <v>2496</v>
      </c>
      <c r="B1094" s="3" t="s">
        <v>2497</v>
      </c>
      <c r="C1094" s="3" t="s">
        <v>2498</v>
      </c>
      <c r="D1094" s="3" t="s">
        <v>2499</v>
      </c>
      <c r="E1094" s="3" t="s">
        <v>2500</v>
      </c>
      <c r="F1094" t="str">
        <f>_xlfn.XLOOKUP(A1094,[1]邦达数据库!$A:$A,[1]邦达数据库!$C:$C)</f>
        <v>8418.21.9110</v>
      </c>
    </row>
    <row r="1095" ht="30" customHeight="1" spans="1:6">
      <c r="A1095" s="4" t="s">
        <v>2501</v>
      </c>
      <c r="B1095" s="5" t="s">
        <v>2497</v>
      </c>
      <c r="C1095" s="5" t="s">
        <v>2502</v>
      </c>
      <c r="D1095" s="5" t="s">
        <v>2503</v>
      </c>
      <c r="E1095" s="5" t="s">
        <v>2504</v>
      </c>
      <c r="F1095" t="str">
        <f>_xlfn.XLOOKUP(A1095,[1]邦达数据库!$A:$A,[1]邦达数据库!$C:$C)</f>
        <v>8418.21.9110</v>
      </c>
    </row>
    <row r="1096" ht="30" customHeight="1" spans="1:6">
      <c r="A1096" s="2" t="s">
        <v>2505</v>
      </c>
      <c r="B1096" s="3" t="s">
        <v>2497</v>
      </c>
      <c r="C1096" s="3" t="s">
        <v>2506</v>
      </c>
      <c r="D1096" s="3" t="s">
        <v>319</v>
      </c>
      <c r="E1096" s="3" t="s">
        <v>320</v>
      </c>
      <c r="F1096" t="e">
        <f>_xlfn.XLOOKUP(A1096,[1]邦达数据库!$A:$A,[1]邦达数据库!$C:$C)</f>
        <v>#N/A</v>
      </c>
    </row>
    <row r="1097" ht="30" customHeight="1" spans="1:6">
      <c r="A1097" s="4" t="s">
        <v>2507</v>
      </c>
      <c r="B1097" s="5" t="s">
        <v>2497</v>
      </c>
      <c r="C1097" s="5" t="s">
        <v>2506</v>
      </c>
      <c r="D1097" s="5" t="s">
        <v>319</v>
      </c>
      <c r="E1097" s="5" t="s">
        <v>320</v>
      </c>
      <c r="F1097" t="e">
        <f>_xlfn.XLOOKUP(A1097,[1]邦达数据库!$A:$A,[1]邦达数据库!$C:$C)</f>
        <v>#N/A</v>
      </c>
    </row>
    <row r="1098" ht="30" customHeight="1" spans="1:6">
      <c r="A1098" s="2" t="s">
        <v>2508</v>
      </c>
      <c r="B1098" s="3" t="s">
        <v>2497</v>
      </c>
      <c r="C1098" s="3" t="s">
        <v>2509</v>
      </c>
      <c r="D1098" s="3" t="s">
        <v>2510</v>
      </c>
      <c r="E1098" s="3" t="s">
        <v>2511</v>
      </c>
      <c r="F1098" t="e">
        <f>_xlfn.XLOOKUP(A1098,[1]邦达数据库!$A:$A,[1]邦达数据库!$C:$C)</f>
        <v>#N/A</v>
      </c>
    </row>
    <row r="1099" ht="30" customHeight="1" spans="1:6">
      <c r="A1099" s="4" t="s">
        <v>2512</v>
      </c>
      <c r="B1099" s="5" t="s">
        <v>2513</v>
      </c>
      <c r="C1099" s="5" t="s">
        <v>975</v>
      </c>
      <c r="D1099" s="5" t="s">
        <v>524</v>
      </c>
      <c r="E1099" s="5" t="s">
        <v>525</v>
      </c>
      <c r="F1099" t="e">
        <f>_xlfn.XLOOKUP(A1099,[1]邦达数据库!$A:$A,[1]邦达数据库!$C:$C)</f>
        <v>#N/A</v>
      </c>
    </row>
    <row r="1100" ht="30" customHeight="1" spans="1:6">
      <c r="A1100" s="2" t="s">
        <v>2514</v>
      </c>
      <c r="B1100" s="3" t="s">
        <v>2513</v>
      </c>
      <c r="C1100" s="3" t="s">
        <v>975</v>
      </c>
      <c r="D1100" s="3" t="s">
        <v>524</v>
      </c>
      <c r="E1100" s="3" t="s">
        <v>525</v>
      </c>
      <c r="F1100" t="e">
        <f>_xlfn.XLOOKUP(A1100,[1]邦达数据库!$A:$A,[1]邦达数据库!$C:$C)</f>
        <v>#N/A</v>
      </c>
    </row>
    <row r="1101" ht="30" customHeight="1" spans="1:6">
      <c r="A1101" s="4" t="s">
        <v>2515</v>
      </c>
      <c r="B1101" s="5" t="s">
        <v>2516</v>
      </c>
      <c r="C1101" s="5" t="s">
        <v>827</v>
      </c>
      <c r="D1101" s="5" t="s">
        <v>2517</v>
      </c>
      <c r="E1101" s="5" t="s">
        <v>2518</v>
      </c>
      <c r="F1101" t="e">
        <f>_xlfn.XLOOKUP(A1101,[1]邦达数据库!$A:$A,[1]邦达数据库!$C:$C)</f>
        <v>#N/A</v>
      </c>
    </row>
    <row r="1102" ht="30" customHeight="1" spans="1:6">
      <c r="A1102" s="2" t="s">
        <v>2519</v>
      </c>
      <c r="B1102" s="3" t="s">
        <v>2516</v>
      </c>
      <c r="C1102" s="3" t="s">
        <v>827</v>
      </c>
      <c r="D1102" s="3" t="s">
        <v>2517</v>
      </c>
      <c r="E1102" s="3" t="s">
        <v>2518</v>
      </c>
      <c r="F1102" t="e">
        <f>_xlfn.XLOOKUP(A1102,[1]邦达数据库!$A:$A,[1]邦达数据库!$C:$C)</f>
        <v>#N/A</v>
      </c>
    </row>
    <row r="1103" ht="30" customHeight="1" spans="1:6">
      <c r="A1103" s="4" t="s">
        <v>2520</v>
      </c>
      <c r="B1103" s="5" t="s">
        <v>2521</v>
      </c>
      <c r="C1103" s="5" t="s">
        <v>2477</v>
      </c>
      <c r="D1103" s="5" t="s">
        <v>604</v>
      </c>
      <c r="E1103" s="5" t="s">
        <v>605</v>
      </c>
      <c r="F1103" t="e">
        <f>_xlfn.XLOOKUP(A1103,[1]邦达数据库!$A:$A,[1]邦达数据库!$C:$C)</f>
        <v>#N/A</v>
      </c>
    </row>
    <row r="1104" ht="30" customHeight="1" spans="1:6">
      <c r="A1104" s="2" t="s">
        <v>2522</v>
      </c>
      <c r="B1104" s="3" t="s">
        <v>2521</v>
      </c>
      <c r="C1104" s="3" t="s">
        <v>2477</v>
      </c>
      <c r="D1104" s="3" t="s">
        <v>604</v>
      </c>
      <c r="E1104" s="3" t="s">
        <v>605</v>
      </c>
      <c r="F1104" t="e">
        <f>_xlfn.XLOOKUP(A1104,[1]邦达数据库!$A:$A,[1]邦达数据库!$C:$C)</f>
        <v>#N/A</v>
      </c>
    </row>
    <row r="1105" ht="30" customHeight="1" spans="1:6">
      <c r="A1105" s="4" t="s">
        <v>2523</v>
      </c>
      <c r="B1105" s="5" t="s">
        <v>2524</v>
      </c>
      <c r="C1105" s="5" t="s">
        <v>265</v>
      </c>
      <c r="D1105" s="5" t="s">
        <v>579</v>
      </c>
      <c r="E1105" s="5" t="s">
        <v>580</v>
      </c>
      <c r="F1105" t="e">
        <f>_xlfn.XLOOKUP(A1105,[1]邦达数据库!$A:$A,[1]邦达数据库!$C:$C)</f>
        <v>#N/A</v>
      </c>
    </row>
    <row r="1106" ht="30" customHeight="1" spans="1:6">
      <c r="A1106" s="2" t="s">
        <v>2525</v>
      </c>
      <c r="B1106" s="3" t="s">
        <v>2526</v>
      </c>
      <c r="C1106" s="3" t="s">
        <v>1225</v>
      </c>
      <c r="D1106" s="3" t="s">
        <v>319</v>
      </c>
      <c r="E1106" s="3" t="s">
        <v>320</v>
      </c>
      <c r="F1106" t="e">
        <f>_xlfn.XLOOKUP(A1106,[1]邦达数据库!$A:$A,[1]邦达数据库!$C:$C)</f>
        <v>#N/A</v>
      </c>
    </row>
    <row r="1107" ht="30" customHeight="1" spans="1:6">
      <c r="A1107" s="4" t="s">
        <v>2527</v>
      </c>
      <c r="B1107" s="5" t="s">
        <v>2526</v>
      </c>
      <c r="C1107" s="5" t="s">
        <v>1225</v>
      </c>
      <c r="D1107" s="5" t="s">
        <v>319</v>
      </c>
      <c r="E1107" s="5" t="s">
        <v>320</v>
      </c>
      <c r="F1107" t="e">
        <f>_xlfn.XLOOKUP(A1107,[1]邦达数据库!$A:$A,[1]邦达数据库!$C:$C)</f>
        <v>#N/A</v>
      </c>
    </row>
    <row r="1108" ht="30" customHeight="1" spans="1:6">
      <c r="A1108" s="2" t="s">
        <v>2528</v>
      </c>
      <c r="B1108" s="3" t="s">
        <v>2526</v>
      </c>
      <c r="C1108" s="3" t="s">
        <v>1225</v>
      </c>
      <c r="D1108" s="3" t="s">
        <v>2529</v>
      </c>
      <c r="E1108" s="3" t="s">
        <v>2530</v>
      </c>
      <c r="F1108" t="e">
        <f>_xlfn.XLOOKUP(A1108,[1]邦达数据库!$A:$A,[1]邦达数据库!$C:$C)</f>
        <v>#N/A</v>
      </c>
    </row>
    <row r="1109" ht="30" customHeight="1" spans="1:6">
      <c r="A1109" s="4" t="s">
        <v>2531</v>
      </c>
      <c r="B1109" s="5" t="s">
        <v>2526</v>
      </c>
      <c r="C1109" s="5" t="s">
        <v>1225</v>
      </c>
      <c r="D1109" s="5" t="s">
        <v>319</v>
      </c>
      <c r="E1109" s="5" t="s">
        <v>320</v>
      </c>
      <c r="F1109" t="e">
        <f>_xlfn.XLOOKUP(A1109,[1]邦达数据库!$A:$A,[1]邦达数据库!$C:$C)</f>
        <v>#N/A</v>
      </c>
    </row>
    <row r="1110" ht="30" customHeight="1" spans="1:6">
      <c r="A1110" s="2" t="s">
        <v>2532</v>
      </c>
      <c r="B1110" s="3" t="s">
        <v>2526</v>
      </c>
      <c r="C1110" s="3" t="s">
        <v>1225</v>
      </c>
      <c r="D1110" s="3" t="s">
        <v>2533</v>
      </c>
      <c r="E1110" s="3" t="s">
        <v>2534</v>
      </c>
      <c r="F1110" t="e">
        <f>_xlfn.XLOOKUP(A1110,[1]邦达数据库!$A:$A,[1]邦达数据库!$C:$C)</f>
        <v>#N/A</v>
      </c>
    </row>
    <row r="1111" ht="30" customHeight="1" spans="1:6">
      <c r="A1111" s="4" t="s">
        <v>2535</v>
      </c>
      <c r="B1111" s="5" t="s">
        <v>2526</v>
      </c>
      <c r="C1111" s="5" t="s">
        <v>1225</v>
      </c>
      <c r="D1111" s="5" t="s">
        <v>2210</v>
      </c>
      <c r="E1111" s="5" t="s">
        <v>2211</v>
      </c>
      <c r="F1111" t="e">
        <f>_xlfn.XLOOKUP(A1111,[1]邦达数据库!$A:$A,[1]邦达数据库!$C:$C)</f>
        <v>#N/A</v>
      </c>
    </row>
    <row r="1112" ht="30" customHeight="1" spans="1:6">
      <c r="A1112" s="2" t="s">
        <v>2536</v>
      </c>
      <c r="B1112" s="3" t="s">
        <v>2526</v>
      </c>
      <c r="C1112" s="3" t="s">
        <v>1225</v>
      </c>
      <c r="D1112" s="3" t="s">
        <v>319</v>
      </c>
      <c r="E1112" s="3" t="s">
        <v>320</v>
      </c>
      <c r="F1112" t="e">
        <f>_xlfn.XLOOKUP(A1112,[1]邦达数据库!$A:$A,[1]邦达数据库!$C:$C)</f>
        <v>#N/A</v>
      </c>
    </row>
    <row r="1113" ht="30" customHeight="1" spans="1:6">
      <c r="A1113" s="4" t="s">
        <v>2537</v>
      </c>
      <c r="B1113" s="5" t="s">
        <v>2538</v>
      </c>
      <c r="C1113" s="5" t="s">
        <v>1183</v>
      </c>
      <c r="D1113" s="5" t="s">
        <v>1057</v>
      </c>
      <c r="E1113" s="5" t="s">
        <v>1058</v>
      </c>
      <c r="F1113" t="e">
        <f>_xlfn.XLOOKUP(A1113,[1]邦达数据库!$A:$A,[1]邦达数据库!$C:$C)</f>
        <v>#N/A</v>
      </c>
    </row>
    <row r="1114" ht="30" customHeight="1" spans="1:6">
      <c r="A1114" s="2" t="s">
        <v>2539</v>
      </c>
      <c r="B1114" s="3" t="s">
        <v>2538</v>
      </c>
      <c r="C1114" s="3" t="s">
        <v>1183</v>
      </c>
      <c r="D1114" s="3" t="s">
        <v>794</v>
      </c>
      <c r="E1114" s="3" t="s">
        <v>795</v>
      </c>
      <c r="F1114" t="e">
        <f>_xlfn.XLOOKUP(A1114,[1]邦达数据库!$A:$A,[1]邦达数据库!$C:$C)</f>
        <v>#N/A</v>
      </c>
    </row>
    <row r="1115" ht="30" customHeight="1" spans="1:6">
      <c r="A1115" s="4" t="s">
        <v>2540</v>
      </c>
      <c r="B1115" s="5" t="s">
        <v>2538</v>
      </c>
      <c r="C1115" s="5" t="s">
        <v>1183</v>
      </c>
      <c r="D1115" s="5" t="s">
        <v>1057</v>
      </c>
      <c r="E1115" s="5" t="s">
        <v>1058</v>
      </c>
      <c r="F1115" t="e">
        <f>_xlfn.XLOOKUP(A1115,[1]邦达数据库!$A:$A,[1]邦达数据库!$C:$C)</f>
        <v>#N/A</v>
      </c>
    </row>
    <row r="1116" ht="30" customHeight="1" spans="1:6">
      <c r="A1116" s="2" t="s">
        <v>2541</v>
      </c>
      <c r="B1116" s="3" t="s">
        <v>2538</v>
      </c>
      <c r="C1116" s="3" t="s">
        <v>1183</v>
      </c>
      <c r="D1116" s="3" t="s">
        <v>28</v>
      </c>
      <c r="E1116" s="3" t="s">
        <v>29</v>
      </c>
      <c r="F1116" t="e">
        <f>_xlfn.XLOOKUP(A1116,[1]邦达数据库!$A:$A,[1]邦达数据库!$C:$C)</f>
        <v>#N/A</v>
      </c>
    </row>
    <row r="1117" ht="30" customHeight="1" spans="1:6">
      <c r="A1117" s="4" t="s">
        <v>2542</v>
      </c>
      <c r="B1117" s="5" t="s">
        <v>2538</v>
      </c>
      <c r="C1117" s="5" t="s">
        <v>1183</v>
      </c>
      <c r="D1117" s="5" t="s">
        <v>1057</v>
      </c>
      <c r="E1117" s="5" t="s">
        <v>1058</v>
      </c>
      <c r="F1117" t="e">
        <f>_xlfn.XLOOKUP(A1117,[1]邦达数据库!$A:$A,[1]邦达数据库!$C:$C)</f>
        <v>#N/A</v>
      </c>
    </row>
    <row r="1118" ht="30" customHeight="1" spans="1:6">
      <c r="A1118" s="2" t="s">
        <v>2543</v>
      </c>
      <c r="B1118" s="3" t="s">
        <v>2538</v>
      </c>
      <c r="C1118" s="3" t="s">
        <v>1183</v>
      </c>
      <c r="D1118" s="3" t="s">
        <v>794</v>
      </c>
      <c r="E1118" s="3" t="s">
        <v>795</v>
      </c>
      <c r="F1118" t="e">
        <f>_xlfn.XLOOKUP(A1118,[1]邦达数据库!$A:$A,[1]邦达数据库!$C:$C)</f>
        <v>#N/A</v>
      </c>
    </row>
    <row r="1119" ht="30" customHeight="1" spans="1:6">
      <c r="A1119" s="2" t="s">
        <v>2544</v>
      </c>
      <c r="B1119" s="3" t="s">
        <v>2545</v>
      </c>
      <c r="C1119" s="3" t="s">
        <v>2546</v>
      </c>
      <c r="D1119" s="3" t="s">
        <v>2547</v>
      </c>
      <c r="E1119" s="3" t="s">
        <v>2548</v>
      </c>
      <c r="F1119" t="e">
        <f>_xlfn.XLOOKUP(A1119,[1]邦达数据库!$A:$A,[1]邦达数据库!$C:$C)</f>
        <v>#N/A</v>
      </c>
    </row>
    <row r="1120" ht="30" customHeight="1" spans="1:6">
      <c r="A1120" s="4" t="s">
        <v>2549</v>
      </c>
      <c r="B1120" s="5" t="s">
        <v>2550</v>
      </c>
      <c r="C1120" s="5" t="s">
        <v>1172</v>
      </c>
      <c r="D1120" s="5" t="s">
        <v>2551</v>
      </c>
      <c r="E1120" s="5" t="s">
        <v>2552</v>
      </c>
      <c r="F1120" t="e">
        <f>_xlfn.XLOOKUP(A1120,[1]邦达数据库!$A:$A,[1]邦达数据库!$C:$C)</f>
        <v>#N/A</v>
      </c>
    </row>
    <row r="1121" ht="30" customHeight="1" spans="1:6">
      <c r="A1121" s="2" t="s">
        <v>2553</v>
      </c>
      <c r="B1121" s="3" t="s">
        <v>2550</v>
      </c>
      <c r="C1121" s="3" t="s">
        <v>1172</v>
      </c>
      <c r="D1121" s="3" t="s">
        <v>568</v>
      </c>
      <c r="E1121" s="3" t="s">
        <v>569</v>
      </c>
      <c r="F1121" t="e">
        <f>_xlfn.XLOOKUP(A1121,[1]邦达数据库!$A:$A,[1]邦达数据库!$C:$C)</f>
        <v>#N/A</v>
      </c>
    </row>
    <row r="1122" ht="30" customHeight="1" spans="1:6">
      <c r="A1122" s="4" t="s">
        <v>2554</v>
      </c>
      <c r="B1122" s="5" t="s">
        <v>2550</v>
      </c>
      <c r="C1122" s="5" t="s">
        <v>2555</v>
      </c>
      <c r="D1122" s="5" t="s">
        <v>568</v>
      </c>
      <c r="E1122" s="5" t="s">
        <v>569</v>
      </c>
      <c r="F1122" t="e">
        <f>_xlfn.XLOOKUP(A1122,[1]邦达数据库!$A:$A,[1]邦达数据库!$C:$C)</f>
        <v>#N/A</v>
      </c>
    </row>
    <row r="1123" ht="30" customHeight="1" spans="1:6">
      <c r="A1123" s="2" t="s">
        <v>2556</v>
      </c>
      <c r="B1123" s="3" t="s">
        <v>2557</v>
      </c>
      <c r="C1123" s="3" t="s">
        <v>2558</v>
      </c>
      <c r="D1123" s="3" t="s">
        <v>280</v>
      </c>
      <c r="E1123" s="3" t="s">
        <v>281</v>
      </c>
      <c r="F1123" t="e">
        <f>_xlfn.XLOOKUP(A1123,[1]邦达数据库!$A:$A,[1]邦达数据库!$C:$C)</f>
        <v>#N/A</v>
      </c>
    </row>
    <row r="1124" ht="30" customHeight="1" spans="1:6">
      <c r="A1124" s="4" t="s">
        <v>2559</v>
      </c>
      <c r="B1124" s="5" t="s">
        <v>2557</v>
      </c>
      <c r="C1124" s="5" t="s">
        <v>2558</v>
      </c>
      <c r="D1124" s="5" t="s">
        <v>280</v>
      </c>
      <c r="E1124" s="5" t="s">
        <v>281</v>
      </c>
      <c r="F1124" t="e">
        <f>_xlfn.XLOOKUP(A1124,[1]邦达数据库!$A:$A,[1]邦达数据库!$C:$C)</f>
        <v>#N/A</v>
      </c>
    </row>
    <row r="1125" ht="30" customHeight="1" spans="1:6">
      <c r="A1125" s="2" t="s">
        <v>2560</v>
      </c>
      <c r="B1125" s="3" t="s">
        <v>2557</v>
      </c>
      <c r="C1125" s="3" t="s">
        <v>2558</v>
      </c>
      <c r="D1125" s="3" t="s">
        <v>2295</v>
      </c>
      <c r="E1125" s="3" t="s">
        <v>2296</v>
      </c>
      <c r="F1125" t="e">
        <f>_xlfn.XLOOKUP(A1125,[1]邦达数据库!$A:$A,[1]邦达数据库!$C:$C)</f>
        <v>#N/A</v>
      </c>
    </row>
    <row r="1126" ht="30" customHeight="1" spans="1:6">
      <c r="A1126" s="4" t="s">
        <v>2561</v>
      </c>
      <c r="B1126" s="5" t="s">
        <v>2557</v>
      </c>
      <c r="C1126" s="5" t="s">
        <v>2562</v>
      </c>
      <c r="D1126" s="5" t="s">
        <v>280</v>
      </c>
      <c r="E1126" s="5" t="s">
        <v>281</v>
      </c>
      <c r="F1126" t="e">
        <f>_xlfn.XLOOKUP(A1126,[1]邦达数据库!$A:$A,[1]邦达数据库!$C:$C)</f>
        <v>#N/A</v>
      </c>
    </row>
    <row r="1127" ht="30" customHeight="1" spans="1:6">
      <c r="A1127" s="2" t="s">
        <v>2563</v>
      </c>
      <c r="B1127" s="3" t="s">
        <v>2557</v>
      </c>
      <c r="C1127" s="3" t="s">
        <v>2558</v>
      </c>
      <c r="D1127" s="3" t="s">
        <v>280</v>
      </c>
      <c r="E1127" s="3" t="s">
        <v>281</v>
      </c>
      <c r="F1127" t="e">
        <f>_xlfn.XLOOKUP(A1127,[1]邦达数据库!$A:$A,[1]邦达数据库!$C:$C)</f>
        <v>#N/A</v>
      </c>
    </row>
    <row r="1128" ht="30" customHeight="1" spans="1:6">
      <c r="A1128" s="4" t="s">
        <v>2564</v>
      </c>
      <c r="B1128" s="5" t="s">
        <v>2565</v>
      </c>
      <c r="C1128" s="5" t="s">
        <v>2566</v>
      </c>
      <c r="D1128" s="5" t="s">
        <v>33</v>
      </c>
      <c r="E1128" s="5" t="s">
        <v>34</v>
      </c>
      <c r="F1128" t="e">
        <f>_xlfn.XLOOKUP(A1128,[1]邦达数据库!$A:$A,[1]邦达数据库!$C:$C)</f>
        <v>#N/A</v>
      </c>
    </row>
    <row r="1129" ht="30" customHeight="1" spans="1:6">
      <c r="A1129" s="2" t="s">
        <v>2567</v>
      </c>
      <c r="B1129" s="3" t="s">
        <v>2568</v>
      </c>
      <c r="C1129" s="3" t="s">
        <v>2569</v>
      </c>
      <c r="D1129" s="3" t="s">
        <v>170</v>
      </c>
      <c r="E1129" s="3" t="s">
        <v>171</v>
      </c>
      <c r="F1129" t="e">
        <f>_xlfn.XLOOKUP(A1129,[1]邦达数据库!$A:$A,[1]邦达数据库!$C:$C)</f>
        <v>#N/A</v>
      </c>
    </row>
    <row r="1130" ht="30" customHeight="1" spans="1:6">
      <c r="A1130" s="4" t="s">
        <v>2570</v>
      </c>
      <c r="B1130" s="5" t="s">
        <v>2571</v>
      </c>
      <c r="C1130" s="5" t="s">
        <v>72</v>
      </c>
      <c r="D1130" s="5" t="s">
        <v>2344</v>
      </c>
      <c r="E1130" s="5" t="s">
        <v>2345</v>
      </c>
      <c r="F1130" t="e">
        <f>_xlfn.XLOOKUP(A1130,[1]邦达数据库!$A:$A,[1]邦达数据库!$C:$C)</f>
        <v>#N/A</v>
      </c>
    </row>
    <row r="1131" ht="30" customHeight="1" spans="1:6">
      <c r="A1131" s="2" t="s">
        <v>2572</v>
      </c>
      <c r="B1131" s="3" t="s">
        <v>2571</v>
      </c>
      <c r="C1131" s="3" t="s">
        <v>72</v>
      </c>
      <c r="D1131" s="3" t="s">
        <v>879</v>
      </c>
      <c r="E1131" s="3" t="s">
        <v>880</v>
      </c>
      <c r="F1131" t="e">
        <f>_xlfn.XLOOKUP(A1131,[1]邦达数据库!$A:$A,[1]邦达数据库!$C:$C)</f>
        <v>#N/A</v>
      </c>
    </row>
    <row r="1132" ht="30" customHeight="1" spans="1:6">
      <c r="A1132" s="4" t="s">
        <v>2573</v>
      </c>
      <c r="B1132" s="5" t="s">
        <v>2571</v>
      </c>
      <c r="C1132" s="5" t="s">
        <v>2574</v>
      </c>
      <c r="D1132" s="5" t="s">
        <v>621</v>
      </c>
      <c r="E1132" s="5" t="s">
        <v>622</v>
      </c>
      <c r="F1132" t="e">
        <f>_xlfn.XLOOKUP(A1132,[1]邦达数据库!$A:$A,[1]邦达数据库!$C:$C)</f>
        <v>#N/A</v>
      </c>
    </row>
    <row r="1133" ht="30" customHeight="1" spans="1:6">
      <c r="A1133" s="2" t="s">
        <v>2575</v>
      </c>
      <c r="B1133" s="3" t="s">
        <v>2571</v>
      </c>
      <c r="C1133" s="3" t="s">
        <v>2576</v>
      </c>
      <c r="D1133" s="3" t="s">
        <v>1319</v>
      </c>
      <c r="E1133" s="3" t="s">
        <v>1320</v>
      </c>
      <c r="F1133" t="e">
        <f>_xlfn.XLOOKUP(A1133,[1]邦达数据库!$A:$A,[1]邦达数据库!$C:$C)</f>
        <v>#N/A</v>
      </c>
    </row>
    <row r="1134" ht="30" customHeight="1" spans="1:6">
      <c r="A1134" s="4" t="s">
        <v>2577</v>
      </c>
      <c r="B1134" s="5" t="s">
        <v>110</v>
      </c>
      <c r="C1134" s="5" t="s">
        <v>111</v>
      </c>
      <c r="D1134" s="5" t="s">
        <v>112</v>
      </c>
      <c r="E1134" s="5" t="s">
        <v>113</v>
      </c>
      <c r="F1134" t="e">
        <f>_xlfn.XLOOKUP(A1134,[1]邦达数据库!$A:$A,[1]邦达数据库!$C:$C)</f>
        <v>#N/A</v>
      </c>
    </row>
    <row r="1135" ht="30" customHeight="1" spans="1:6">
      <c r="A1135" s="2" t="s">
        <v>2578</v>
      </c>
      <c r="B1135" s="3" t="s">
        <v>110</v>
      </c>
      <c r="C1135" s="3" t="s">
        <v>111</v>
      </c>
      <c r="D1135" s="3" t="s">
        <v>112</v>
      </c>
      <c r="E1135" s="3" t="s">
        <v>113</v>
      </c>
      <c r="F1135" t="e">
        <f>_xlfn.XLOOKUP(A1135,[1]邦达数据库!$A:$A,[1]邦达数据库!$C:$C)</f>
        <v>#N/A</v>
      </c>
    </row>
    <row r="1136" ht="30" customHeight="1" spans="1:6">
      <c r="A1136" s="4" t="s">
        <v>2579</v>
      </c>
      <c r="B1136" s="5" t="s">
        <v>110</v>
      </c>
      <c r="C1136" s="5" t="s">
        <v>111</v>
      </c>
      <c r="D1136" s="5" t="s">
        <v>112</v>
      </c>
      <c r="E1136" s="5" t="s">
        <v>113</v>
      </c>
      <c r="F1136" t="e">
        <f>_xlfn.XLOOKUP(A1136,[1]邦达数据库!$A:$A,[1]邦达数据库!$C:$C)</f>
        <v>#N/A</v>
      </c>
    </row>
    <row r="1137" ht="30" customHeight="1" spans="1:6">
      <c r="A1137" s="2" t="s">
        <v>2580</v>
      </c>
      <c r="B1137" s="3" t="s">
        <v>110</v>
      </c>
      <c r="C1137" s="3" t="s">
        <v>111</v>
      </c>
      <c r="D1137" s="3" t="s">
        <v>112</v>
      </c>
      <c r="E1137" s="3" t="s">
        <v>113</v>
      </c>
      <c r="F1137" t="e">
        <f>_xlfn.XLOOKUP(A1137,[1]邦达数据库!$A:$A,[1]邦达数据库!$C:$C)</f>
        <v>#N/A</v>
      </c>
    </row>
    <row r="1138" ht="30" customHeight="1" spans="1:6">
      <c r="A1138" s="4" t="s">
        <v>2581</v>
      </c>
      <c r="B1138" s="5" t="s">
        <v>2582</v>
      </c>
      <c r="C1138" s="5" t="s">
        <v>340</v>
      </c>
      <c r="D1138" s="5" t="s">
        <v>1312</v>
      </c>
      <c r="E1138" s="5" t="s">
        <v>1313</v>
      </c>
      <c r="F1138" t="e">
        <f>_xlfn.XLOOKUP(A1138,[1]邦达数据库!$A:$A,[1]邦达数据库!$C:$C)</f>
        <v>#N/A</v>
      </c>
    </row>
    <row r="1139" ht="30" customHeight="1" spans="1:6">
      <c r="A1139" s="2" t="s">
        <v>2583</v>
      </c>
      <c r="B1139" s="3" t="s">
        <v>1350</v>
      </c>
      <c r="C1139" s="3" t="s">
        <v>1704</v>
      </c>
      <c r="D1139" s="3" t="s">
        <v>582</v>
      </c>
      <c r="E1139" s="3" t="s">
        <v>583</v>
      </c>
      <c r="F1139" t="e">
        <f>_xlfn.XLOOKUP(A1139,[1]邦达数据库!$A:$A,[1]邦达数据库!$C:$C)</f>
        <v>#N/A</v>
      </c>
    </row>
    <row r="1140" ht="30" customHeight="1" spans="1:6">
      <c r="A1140" s="4" t="s">
        <v>2584</v>
      </c>
      <c r="B1140" s="5" t="s">
        <v>2585</v>
      </c>
      <c r="C1140" s="5" t="s">
        <v>1167</v>
      </c>
      <c r="D1140" s="5" t="s">
        <v>711</v>
      </c>
      <c r="E1140" s="5" t="s">
        <v>712</v>
      </c>
      <c r="F1140" t="e">
        <f>_xlfn.XLOOKUP(A1140,[1]邦达数据库!$A:$A,[1]邦达数据库!$C:$C)</f>
        <v>#N/A</v>
      </c>
    </row>
    <row r="1141" ht="30" customHeight="1" spans="1:6">
      <c r="A1141" s="2" t="s">
        <v>2586</v>
      </c>
      <c r="B1141" s="3" t="s">
        <v>2587</v>
      </c>
      <c r="C1141" s="3" t="s">
        <v>335</v>
      </c>
      <c r="D1141" s="3" t="s">
        <v>2588</v>
      </c>
      <c r="E1141" s="3" t="s">
        <v>2589</v>
      </c>
      <c r="F1141" t="e">
        <f>_xlfn.XLOOKUP(A1141,[1]邦达数据库!$A:$A,[1]邦达数据库!$C:$C)</f>
        <v>#N/A</v>
      </c>
    </row>
    <row r="1142" ht="30" customHeight="1" spans="1:6">
      <c r="A1142" s="4" t="s">
        <v>2590</v>
      </c>
      <c r="B1142" s="5" t="s">
        <v>2591</v>
      </c>
      <c r="C1142" s="5" t="s">
        <v>1467</v>
      </c>
      <c r="D1142" s="5" t="s">
        <v>2592</v>
      </c>
      <c r="E1142" s="5" t="s">
        <v>2593</v>
      </c>
      <c r="F1142" t="e">
        <f>_xlfn.XLOOKUP(A1142,[1]邦达数据库!$A:$A,[1]邦达数据库!$C:$C)</f>
        <v>#N/A</v>
      </c>
    </row>
    <row r="1143" ht="30" customHeight="1" spans="1:6">
      <c r="A1143" s="2" t="s">
        <v>2594</v>
      </c>
      <c r="B1143" s="3" t="s">
        <v>2591</v>
      </c>
      <c r="C1143" s="3" t="s">
        <v>1467</v>
      </c>
      <c r="D1143" s="3" t="s">
        <v>2595</v>
      </c>
      <c r="E1143" s="3" t="s">
        <v>2596</v>
      </c>
      <c r="F1143" t="e">
        <f>_xlfn.XLOOKUP(A1143,[1]邦达数据库!$A:$A,[1]邦达数据库!$C:$C)</f>
        <v>#N/A</v>
      </c>
    </row>
    <row r="1144" ht="30" customHeight="1" spans="1:6">
      <c r="A1144" s="4" t="s">
        <v>2597</v>
      </c>
      <c r="B1144" s="5" t="s">
        <v>139</v>
      </c>
      <c r="C1144" s="5" t="s">
        <v>72</v>
      </c>
      <c r="D1144" s="5" t="s">
        <v>28</v>
      </c>
      <c r="E1144" s="5" t="s">
        <v>29</v>
      </c>
      <c r="F1144" t="e">
        <f>_xlfn.XLOOKUP(A1144,[1]邦达数据库!$A:$A,[1]邦达数据库!$C:$C)</f>
        <v>#N/A</v>
      </c>
    </row>
    <row r="1145" ht="30" customHeight="1" spans="1:6">
      <c r="A1145" s="2" t="s">
        <v>2598</v>
      </c>
      <c r="B1145" s="3" t="s">
        <v>139</v>
      </c>
      <c r="C1145" s="3" t="s">
        <v>72</v>
      </c>
      <c r="D1145" s="3" t="s">
        <v>130</v>
      </c>
      <c r="E1145" s="3" t="s">
        <v>131</v>
      </c>
      <c r="F1145" t="e">
        <f>_xlfn.XLOOKUP(A1145,[1]邦达数据库!$A:$A,[1]邦达数据库!$C:$C)</f>
        <v>#N/A</v>
      </c>
    </row>
    <row r="1146" ht="30" customHeight="1" spans="1:6">
      <c r="A1146" s="4" t="s">
        <v>2599</v>
      </c>
      <c r="B1146" s="5" t="s">
        <v>139</v>
      </c>
      <c r="C1146" s="5" t="s">
        <v>72</v>
      </c>
      <c r="D1146" s="5" t="s">
        <v>28</v>
      </c>
      <c r="E1146" s="5" t="s">
        <v>29</v>
      </c>
      <c r="F1146" t="e">
        <f>_xlfn.XLOOKUP(A1146,[1]邦达数据库!$A:$A,[1]邦达数据库!$C:$C)</f>
        <v>#N/A</v>
      </c>
    </row>
    <row r="1147" ht="30" customHeight="1" spans="1:6">
      <c r="A1147" s="2" t="s">
        <v>2600</v>
      </c>
      <c r="B1147" s="3" t="s">
        <v>1871</v>
      </c>
      <c r="C1147" s="3" t="s">
        <v>685</v>
      </c>
      <c r="D1147" s="3" t="s">
        <v>73</v>
      </c>
      <c r="E1147" s="3" t="s">
        <v>74</v>
      </c>
      <c r="F1147" t="e">
        <f>_xlfn.XLOOKUP(A1147,[1]邦达数据库!$A:$A,[1]邦达数据库!$C:$C)</f>
        <v>#N/A</v>
      </c>
    </row>
    <row r="1148" ht="30" customHeight="1" spans="1:6">
      <c r="A1148" s="4" t="s">
        <v>2601</v>
      </c>
      <c r="B1148" s="5" t="s">
        <v>2602</v>
      </c>
      <c r="C1148" s="5" t="s">
        <v>459</v>
      </c>
      <c r="D1148" s="5" t="s">
        <v>79</v>
      </c>
      <c r="E1148" s="5" t="s">
        <v>80</v>
      </c>
      <c r="F1148" t="e">
        <f>_xlfn.XLOOKUP(A1148,[1]邦达数据库!$A:$A,[1]邦达数据库!$C:$C)</f>
        <v>#N/A</v>
      </c>
    </row>
    <row r="1149" ht="30" customHeight="1" spans="1:6">
      <c r="A1149" s="2" t="s">
        <v>2603</v>
      </c>
      <c r="B1149" s="3" t="s">
        <v>2604</v>
      </c>
      <c r="C1149" s="3" t="s">
        <v>704</v>
      </c>
      <c r="D1149" s="3" t="s">
        <v>2605</v>
      </c>
      <c r="E1149" s="3" t="s">
        <v>2606</v>
      </c>
      <c r="F1149" t="e">
        <f>_xlfn.XLOOKUP(A1149,[1]邦达数据库!$A:$A,[1]邦达数据库!$C:$C)</f>
        <v>#N/A</v>
      </c>
    </row>
    <row r="1150" ht="30" customHeight="1" spans="1:6">
      <c r="A1150" s="4" t="s">
        <v>2607</v>
      </c>
      <c r="B1150" s="5" t="s">
        <v>2604</v>
      </c>
      <c r="C1150" s="5" t="s">
        <v>704</v>
      </c>
      <c r="D1150" s="5" t="s">
        <v>2608</v>
      </c>
      <c r="E1150" s="5" t="s">
        <v>2609</v>
      </c>
      <c r="F1150" t="e">
        <f>_xlfn.XLOOKUP(A1150,[1]邦达数据库!$A:$A,[1]邦达数据库!$C:$C)</f>
        <v>#N/A</v>
      </c>
    </row>
    <row r="1151" ht="30" customHeight="1" spans="1:6">
      <c r="A1151" s="2" t="s">
        <v>2610</v>
      </c>
      <c r="B1151" s="3" t="s">
        <v>2604</v>
      </c>
      <c r="C1151" s="3" t="s">
        <v>704</v>
      </c>
      <c r="D1151" s="3" t="s">
        <v>2611</v>
      </c>
      <c r="E1151" s="3" t="s">
        <v>2612</v>
      </c>
      <c r="F1151" t="e">
        <f>_xlfn.XLOOKUP(A1151,[1]邦达数据库!$A:$A,[1]邦达数据库!$C:$C)</f>
        <v>#N/A</v>
      </c>
    </row>
    <row r="1152" ht="30" customHeight="1" spans="1:6">
      <c r="A1152" s="4" t="s">
        <v>2613</v>
      </c>
      <c r="B1152" s="5" t="s">
        <v>2602</v>
      </c>
      <c r="C1152" s="5" t="s">
        <v>459</v>
      </c>
      <c r="D1152" s="5" t="s">
        <v>2614</v>
      </c>
      <c r="E1152" s="5" t="s">
        <v>2615</v>
      </c>
      <c r="F1152" t="e">
        <f>_xlfn.XLOOKUP(A1152,[1]邦达数据库!$A:$A,[1]邦达数据库!$C:$C)</f>
        <v>#N/A</v>
      </c>
    </row>
    <row r="1153" ht="30" customHeight="1" spans="1:6">
      <c r="A1153" s="2" t="s">
        <v>2616</v>
      </c>
      <c r="B1153" s="3" t="s">
        <v>2617</v>
      </c>
      <c r="C1153" s="3" t="s">
        <v>335</v>
      </c>
      <c r="D1153" s="3" t="s">
        <v>1708</v>
      </c>
      <c r="E1153" s="3" t="s">
        <v>1709</v>
      </c>
      <c r="F1153" t="e">
        <f>_xlfn.XLOOKUP(A1153,[1]邦达数据库!$A:$A,[1]邦达数据库!$C:$C)</f>
        <v>#N/A</v>
      </c>
    </row>
    <row r="1154" ht="30" customHeight="1" spans="1:6">
      <c r="A1154" s="4" t="s">
        <v>2618</v>
      </c>
      <c r="B1154" s="5" t="s">
        <v>2617</v>
      </c>
      <c r="C1154" s="5" t="s">
        <v>335</v>
      </c>
      <c r="D1154" s="5" t="s">
        <v>73</v>
      </c>
      <c r="E1154" s="5" t="s">
        <v>74</v>
      </c>
      <c r="F1154" t="e">
        <f>_xlfn.XLOOKUP(A1154,[1]邦达数据库!$A:$A,[1]邦达数据库!$C:$C)</f>
        <v>#N/A</v>
      </c>
    </row>
    <row r="1155" ht="30" customHeight="1" spans="1:6">
      <c r="A1155" s="2" t="s">
        <v>2619</v>
      </c>
      <c r="B1155" s="3" t="s">
        <v>2617</v>
      </c>
      <c r="C1155" s="3" t="s">
        <v>335</v>
      </c>
      <c r="D1155" s="3" t="s">
        <v>73</v>
      </c>
      <c r="E1155" s="3" t="s">
        <v>74</v>
      </c>
      <c r="F1155" t="e">
        <f>_xlfn.XLOOKUP(A1155,[1]邦达数据库!$A:$A,[1]邦达数据库!$C:$C)</f>
        <v>#N/A</v>
      </c>
    </row>
    <row r="1156" ht="30" customHeight="1" spans="1:6">
      <c r="A1156" s="4" t="s">
        <v>2620</v>
      </c>
      <c r="B1156" s="5" t="s">
        <v>2617</v>
      </c>
      <c r="C1156" s="5" t="s">
        <v>335</v>
      </c>
      <c r="D1156" s="5" t="s">
        <v>73</v>
      </c>
      <c r="E1156" s="5" t="s">
        <v>74</v>
      </c>
      <c r="F1156" t="e">
        <f>_xlfn.XLOOKUP(A1156,[1]邦达数据库!$A:$A,[1]邦达数据库!$C:$C)</f>
        <v>#N/A</v>
      </c>
    </row>
    <row r="1157" ht="30" customHeight="1" spans="1:6">
      <c r="A1157" s="2" t="s">
        <v>2621</v>
      </c>
      <c r="B1157" s="3" t="s">
        <v>2617</v>
      </c>
      <c r="C1157" s="3" t="s">
        <v>335</v>
      </c>
      <c r="D1157" s="3" t="s">
        <v>73</v>
      </c>
      <c r="E1157" s="3" t="s">
        <v>74</v>
      </c>
      <c r="F1157" t="e">
        <f>_xlfn.XLOOKUP(A1157,[1]邦达数据库!$A:$A,[1]邦达数据库!$C:$C)</f>
        <v>#N/A</v>
      </c>
    </row>
    <row r="1158" ht="30" customHeight="1" spans="1:6">
      <c r="A1158" s="4" t="s">
        <v>2622</v>
      </c>
      <c r="B1158" s="5" t="s">
        <v>2617</v>
      </c>
      <c r="C1158" s="5" t="s">
        <v>335</v>
      </c>
      <c r="D1158" s="5" t="s">
        <v>73</v>
      </c>
      <c r="E1158" s="5" t="s">
        <v>74</v>
      </c>
      <c r="F1158" t="e">
        <f>_xlfn.XLOOKUP(A1158,[1]邦达数据库!$A:$A,[1]邦达数据库!$C:$C)</f>
        <v>#N/A</v>
      </c>
    </row>
    <row r="1159" ht="30" customHeight="1" spans="1:6">
      <c r="A1159" s="2" t="s">
        <v>2623</v>
      </c>
      <c r="B1159" s="3" t="s">
        <v>2617</v>
      </c>
      <c r="C1159" s="3" t="s">
        <v>335</v>
      </c>
      <c r="D1159" s="3" t="s">
        <v>73</v>
      </c>
      <c r="E1159" s="3" t="s">
        <v>74</v>
      </c>
      <c r="F1159" t="e">
        <f>_xlfn.XLOOKUP(A1159,[1]邦达数据库!$A:$A,[1]邦达数据库!$C:$C)</f>
        <v>#N/A</v>
      </c>
    </row>
    <row r="1160" ht="30" customHeight="1" spans="1:6">
      <c r="A1160" s="4" t="s">
        <v>2624</v>
      </c>
      <c r="B1160" s="5" t="s">
        <v>2617</v>
      </c>
      <c r="C1160" s="5" t="s">
        <v>335</v>
      </c>
      <c r="D1160" s="5" t="s">
        <v>73</v>
      </c>
      <c r="E1160" s="5" t="s">
        <v>74</v>
      </c>
      <c r="F1160" t="e">
        <f>_xlfn.XLOOKUP(A1160,[1]邦达数据库!$A:$A,[1]邦达数据库!$C:$C)</f>
        <v>#N/A</v>
      </c>
    </row>
    <row r="1161" ht="30" customHeight="1" spans="1:6">
      <c r="A1161" s="2" t="s">
        <v>2625</v>
      </c>
      <c r="B1161" s="3" t="s">
        <v>2617</v>
      </c>
      <c r="C1161" s="3" t="s">
        <v>335</v>
      </c>
      <c r="D1161" s="3" t="s">
        <v>504</v>
      </c>
      <c r="E1161" s="3" t="s">
        <v>505</v>
      </c>
      <c r="F1161" t="e">
        <f>_xlfn.XLOOKUP(A1161,[1]邦达数据库!$A:$A,[1]邦达数据库!$C:$C)</f>
        <v>#N/A</v>
      </c>
    </row>
    <row r="1162" ht="30" customHeight="1" spans="1:6">
      <c r="A1162" s="4" t="s">
        <v>2626</v>
      </c>
      <c r="B1162" s="5" t="s">
        <v>2617</v>
      </c>
      <c r="C1162" s="5" t="s">
        <v>335</v>
      </c>
      <c r="D1162" s="5" t="s">
        <v>73</v>
      </c>
      <c r="E1162" s="5" t="s">
        <v>74</v>
      </c>
      <c r="F1162" t="e">
        <f>_xlfn.XLOOKUP(A1162,[1]邦达数据库!$A:$A,[1]邦达数据库!$C:$C)</f>
        <v>#N/A</v>
      </c>
    </row>
    <row r="1163" ht="30" customHeight="1" spans="1:6">
      <c r="A1163" s="2" t="s">
        <v>2627</v>
      </c>
      <c r="B1163" s="3" t="s">
        <v>2617</v>
      </c>
      <c r="C1163" s="3" t="s">
        <v>335</v>
      </c>
      <c r="D1163" s="3" t="s">
        <v>73</v>
      </c>
      <c r="E1163" s="3" t="s">
        <v>74</v>
      </c>
      <c r="F1163" t="e">
        <f>_xlfn.XLOOKUP(A1163,[1]邦达数据库!$A:$A,[1]邦达数据库!$C:$C)</f>
        <v>#N/A</v>
      </c>
    </row>
    <row r="1164" ht="30" customHeight="1" spans="1:6">
      <c r="A1164" s="2" t="s">
        <v>2628</v>
      </c>
      <c r="B1164" s="3" t="s">
        <v>2629</v>
      </c>
      <c r="C1164" s="3" t="s">
        <v>42</v>
      </c>
      <c r="D1164" s="3" t="s">
        <v>2168</v>
      </c>
      <c r="E1164" s="3" t="s">
        <v>2169</v>
      </c>
      <c r="F1164" t="e">
        <f>_xlfn.XLOOKUP(A1164,[1]邦达数据库!$A:$A,[1]邦达数据库!$C:$C)</f>
        <v>#N/A</v>
      </c>
    </row>
    <row r="1165" ht="30" customHeight="1" spans="1:6">
      <c r="A1165" s="4" t="s">
        <v>2630</v>
      </c>
      <c r="B1165" s="5" t="s">
        <v>2631</v>
      </c>
      <c r="C1165" s="5" t="s">
        <v>98</v>
      </c>
      <c r="D1165" s="5" t="s">
        <v>794</v>
      </c>
      <c r="E1165" s="5" t="s">
        <v>795</v>
      </c>
      <c r="F1165" t="e">
        <f>_xlfn.XLOOKUP(A1165,[1]邦达数据库!$A:$A,[1]邦达数据库!$C:$C)</f>
        <v>#N/A</v>
      </c>
    </row>
    <row r="1166" ht="30" customHeight="1" spans="1:6">
      <c r="A1166" s="2" t="s">
        <v>2632</v>
      </c>
      <c r="B1166" s="3" t="s">
        <v>2633</v>
      </c>
      <c r="C1166" s="3" t="s">
        <v>725</v>
      </c>
      <c r="D1166" s="3" t="s">
        <v>79</v>
      </c>
      <c r="E1166" s="3" t="s">
        <v>80</v>
      </c>
      <c r="F1166" t="e">
        <f>_xlfn.XLOOKUP(A1166,[1]邦达数据库!$A:$A,[1]邦达数据库!$C:$C)</f>
        <v>#N/A</v>
      </c>
    </row>
    <row r="1167" ht="30" customHeight="1" spans="1:6">
      <c r="A1167" s="4" t="s">
        <v>2634</v>
      </c>
      <c r="B1167" s="5" t="s">
        <v>2633</v>
      </c>
      <c r="C1167" s="5" t="s">
        <v>725</v>
      </c>
      <c r="D1167" s="5" t="s">
        <v>1625</v>
      </c>
      <c r="E1167" s="5" t="s">
        <v>1626</v>
      </c>
      <c r="F1167" t="e">
        <f>_xlfn.XLOOKUP(A1167,[1]邦达数据库!$A:$A,[1]邦达数据库!$C:$C)</f>
        <v>#N/A</v>
      </c>
    </row>
    <row r="1168" ht="30" customHeight="1" spans="1:6">
      <c r="A1168" s="2" t="s">
        <v>2635</v>
      </c>
      <c r="B1168" s="3" t="s">
        <v>2636</v>
      </c>
      <c r="C1168" s="3" t="s">
        <v>725</v>
      </c>
      <c r="D1168" s="3" t="s">
        <v>2637</v>
      </c>
      <c r="E1168" s="3" t="s">
        <v>2638</v>
      </c>
      <c r="F1168" t="e">
        <f>_xlfn.XLOOKUP(A1168,[1]邦达数据库!$A:$A,[1]邦达数据库!$C:$C)</f>
        <v>#N/A</v>
      </c>
    </row>
    <row r="1169" ht="30" customHeight="1" spans="1:6">
      <c r="A1169" s="4" t="s">
        <v>2639</v>
      </c>
      <c r="B1169" s="5" t="s">
        <v>2636</v>
      </c>
      <c r="C1169" s="5" t="s">
        <v>725</v>
      </c>
      <c r="D1169" s="5" t="s">
        <v>2640</v>
      </c>
      <c r="E1169" s="5" t="s">
        <v>2641</v>
      </c>
      <c r="F1169" t="e">
        <f>_xlfn.XLOOKUP(A1169,[1]邦达数据库!$A:$A,[1]邦达数据库!$C:$C)</f>
        <v>#N/A</v>
      </c>
    </row>
    <row r="1170" ht="30" customHeight="1" spans="1:6">
      <c r="A1170" s="2" t="s">
        <v>2642</v>
      </c>
      <c r="B1170" s="3" t="s">
        <v>2643</v>
      </c>
      <c r="C1170" s="3" t="s">
        <v>412</v>
      </c>
      <c r="D1170" s="3" t="s">
        <v>223</v>
      </c>
      <c r="E1170" s="3" t="s">
        <v>224</v>
      </c>
      <c r="F1170" t="e">
        <f>_xlfn.XLOOKUP(A1170,[1]邦达数据库!$A:$A,[1]邦达数据库!$C:$C)</f>
        <v>#N/A</v>
      </c>
    </row>
    <row r="1171" ht="30" customHeight="1" spans="1:6">
      <c r="A1171" s="4" t="s">
        <v>2644</v>
      </c>
      <c r="B1171" s="5" t="s">
        <v>2645</v>
      </c>
      <c r="C1171" s="5" t="s">
        <v>1810</v>
      </c>
      <c r="D1171" s="5" t="s">
        <v>223</v>
      </c>
      <c r="E1171" s="5" t="s">
        <v>224</v>
      </c>
      <c r="F1171" t="e">
        <f>_xlfn.XLOOKUP(A1171,[1]邦达数据库!$A:$A,[1]邦达数据库!$C:$C)</f>
        <v>#N/A</v>
      </c>
    </row>
    <row r="1172" ht="30" customHeight="1" spans="1:6">
      <c r="A1172" s="2" t="s">
        <v>2646</v>
      </c>
      <c r="B1172" s="3" t="s">
        <v>2645</v>
      </c>
      <c r="C1172" s="3" t="s">
        <v>1810</v>
      </c>
      <c r="D1172" s="3" t="s">
        <v>170</v>
      </c>
      <c r="E1172" s="3" t="s">
        <v>171</v>
      </c>
      <c r="F1172" t="e">
        <f>_xlfn.XLOOKUP(A1172,[1]邦达数据库!$A:$A,[1]邦达数据库!$C:$C)</f>
        <v>#N/A</v>
      </c>
    </row>
    <row r="1173" ht="30" customHeight="1" spans="1:6">
      <c r="A1173" s="4" t="s">
        <v>2647</v>
      </c>
      <c r="B1173" s="5" t="s">
        <v>2645</v>
      </c>
      <c r="C1173" s="5" t="s">
        <v>1810</v>
      </c>
      <c r="D1173" s="5" t="s">
        <v>170</v>
      </c>
      <c r="E1173" s="5" t="s">
        <v>171</v>
      </c>
      <c r="F1173" t="e">
        <f>_xlfn.XLOOKUP(A1173,[1]邦达数据库!$A:$A,[1]邦达数据库!$C:$C)</f>
        <v>#N/A</v>
      </c>
    </row>
    <row r="1174" ht="30" customHeight="1" spans="1:6">
      <c r="A1174" s="2" t="s">
        <v>2648</v>
      </c>
      <c r="B1174" s="3" t="s">
        <v>2649</v>
      </c>
      <c r="C1174" s="3" t="s">
        <v>157</v>
      </c>
      <c r="D1174" s="3" t="s">
        <v>124</v>
      </c>
      <c r="E1174" s="3" t="s">
        <v>125</v>
      </c>
      <c r="F1174" t="e">
        <f>_xlfn.XLOOKUP(A1174,[1]邦达数据库!$A:$A,[1]邦达数据库!$C:$C)</f>
        <v>#N/A</v>
      </c>
    </row>
    <row r="1175" ht="30" customHeight="1" spans="1:6">
      <c r="A1175" s="4" t="s">
        <v>2650</v>
      </c>
      <c r="B1175" s="5" t="s">
        <v>2649</v>
      </c>
      <c r="C1175" s="5" t="s">
        <v>157</v>
      </c>
      <c r="D1175" s="5" t="s">
        <v>124</v>
      </c>
      <c r="E1175" s="5" t="s">
        <v>125</v>
      </c>
      <c r="F1175" t="e">
        <f>_xlfn.XLOOKUP(A1175,[1]邦达数据库!$A:$A,[1]邦达数据库!$C:$C)</f>
        <v>#N/A</v>
      </c>
    </row>
    <row r="1176" ht="30" customHeight="1" spans="1:6">
      <c r="A1176" s="2" t="s">
        <v>2651</v>
      </c>
      <c r="B1176" s="3" t="s">
        <v>2649</v>
      </c>
      <c r="C1176" s="3" t="s">
        <v>157</v>
      </c>
      <c r="D1176" s="3" t="s">
        <v>124</v>
      </c>
      <c r="E1176" s="3" t="s">
        <v>125</v>
      </c>
      <c r="F1176" t="e">
        <f>_xlfn.XLOOKUP(A1176,[1]邦达数据库!$A:$A,[1]邦达数据库!$C:$C)</f>
        <v>#N/A</v>
      </c>
    </row>
    <row r="1177" ht="30" customHeight="1" spans="1:6">
      <c r="A1177" s="4" t="s">
        <v>2652</v>
      </c>
      <c r="B1177" s="5" t="s">
        <v>2649</v>
      </c>
      <c r="C1177" s="5" t="s">
        <v>157</v>
      </c>
      <c r="D1177" s="5" t="s">
        <v>124</v>
      </c>
      <c r="E1177" s="5" t="s">
        <v>125</v>
      </c>
      <c r="F1177" t="e">
        <f>_xlfn.XLOOKUP(A1177,[1]邦达数据库!$A:$A,[1]邦达数据库!$C:$C)</f>
        <v>#N/A</v>
      </c>
    </row>
    <row r="1178" ht="30" customHeight="1" spans="1:6">
      <c r="A1178" s="2" t="s">
        <v>2653</v>
      </c>
      <c r="B1178" s="3" t="s">
        <v>2649</v>
      </c>
      <c r="C1178" s="3" t="s">
        <v>157</v>
      </c>
      <c r="D1178" s="3" t="s">
        <v>127</v>
      </c>
      <c r="E1178" s="3" t="s">
        <v>128</v>
      </c>
      <c r="F1178" t="e">
        <f>_xlfn.XLOOKUP(A1178,[1]邦达数据库!$A:$A,[1]邦达数据库!$C:$C)</f>
        <v>#N/A</v>
      </c>
    </row>
    <row r="1179" ht="30" customHeight="1" spans="1:6">
      <c r="A1179" s="4" t="s">
        <v>2654</v>
      </c>
      <c r="B1179" s="5" t="s">
        <v>2649</v>
      </c>
      <c r="C1179" s="5" t="s">
        <v>157</v>
      </c>
      <c r="D1179" s="5" t="s">
        <v>124</v>
      </c>
      <c r="E1179" s="5" t="s">
        <v>125</v>
      </c>
      <c r="F1179" t="e">
        <f>_xlfn.XLOOKUP(A1179,[1]邦达数据库!$A:$A,[1]邦达数据库!$C:$C)</f>
        <v>#N/A</v>
      </c>
    </row>
    <row r="1180" ht="30" customHeight="1" spans="1:6">
      <c r="A1180" s="2" t="s">
        <v>2655</v>
      </c>
      <c r="B1180" s="3" t="s">
        <v>2649</v>
      </c>
      <c r="C1180" s="3" t="s">
        <v>157</v>
      </c>
      <c r="D1180" s="3" t="s">
        <v>124</v>
      </c>
      <c r="E1180" s="3" t="s">
        <v>125</v>
      </c>
      <c r="F1180" t="e">
        <f>_xlfn.XLOOKUP(A1180,[1]邦达数据库!$A:$A,[1]邦达数据库!$C:$C)</f>
        <v>#N/A</v>
      </c>
    </row>
    <row r="1181" ht="30" customHeight="1" spans="1:6">
      <c r="A1181" s="4" t="s">
        <v>2656</v>
      </c>
      <c r="B1181" s="5" t="s">
        <v>2649</v>
      </c>
      <c r="C1181" s="5" t="s">
        <v>962</v>
      </c>
      <c r="D1181" s="5" t="s">
        <v>785</v>
      </c>
      <c r="E1181" s="5" t="s">
        <v>786</v>
      </c>
      <c r="F1181" t="e">
        <f>_xlfn.XLOOKUP(A1181,[1]邦达数据库!$A:$A,[1]邦达数据库!$C:$C)</f>
        <v>#N/A</v>
      </c>
    </row>
    <row r="1182" ht="30" customHeight="1" spans="1:6">
      <c r="A1182" s="2" t="s">
        <v>2657</v>
      </c>
      <c r="B1182" s="3" t="s">
        <v>2649</v>
      </c>
      <c r="C1182" s="3" t="s">
        <v>962</v>
      </c>
      <c r="D1182" s="3" t="s">
        <v>785</v>
      </c>
      <c r="E1182" s="3" t="s">
        <v>786</v>
      </c>
      <c r="F1182" t="e">
        <f>_xlfn.XLOOKUP(A1182,[1]邦达数据库!$A:$A,[1]邦达数据库!$C:$C)</f>
        <v>#N/A</v>
      </c>
    </row>
    <row r="1183" ht="30" customHeight="1" spans="1:6">
      <c r="A1183" s="4" t="s">
        <v>2658</v>
      </c>
      <c r="B1183" s="5" t="s">
        <v>97</v>
      </c>
      <c r="C1183" s="5" t="s">
        <v>98</v>
      </c>
      <c r="D1183" s="5" t="s">
        <v>2659</v>
      </c>
      <c r="E1183" s="5" t="s">
        <v>2660</v>
      </c>
      <c r="F1183" t="e">
        <f>_xlfn.XLOOKUP(A1183,[1]邦达数据库!$A:$A,[1]邦达数据库!$C:$C)</f>
        <v>#N/A</v>
      </c>
    </row>
    <row r="1184" ht="30" customHeight="1" spans="1:6">
      <c r="A1184" s="2" t="s">
        <v>2661</v>
      </c>
      <c r="B1184" s="3" t="s">
        <v>97</v>
      </c>
      <c r="C1184" s="3" t="s">
        <v>98</v>
      </c>
      <c r="D1184" s="3" t="s">
        <v>2662</v>
      </c>
      <c r="E1184" s="3" t="s">
        <v>2663</v>
      </c>
      <c r="F1184" t="e">
        <f>_xlfn.XLOOKUP(A1184,[1]邦达数据库!$A:$A,[1]邦达数据库!$C:$C)</f>
        <v>#N/A</v>
      </c>
    </row>
    <row r="1185" ht="30" customHeight="1" spans="1:6">
      <c r="A1185" s="4" t="s">
        <v>2664</v>
      </c>
      <c r="B1185" s="5" t="s">
        <v>97</v>
      </c>
      <c r="C1185" s="5" t="s">
        <v>98</v>
      </c>
      <c r="D1185" s="5" t="s">
        <v>2665</v>
      </c>
      <c r="E1185" s="5" t="s">
        <v>2666</v>
      </c>
      <c r="F1185" t="e">
        <f>_xlfn.XLOOKUP(A1185,[1]邦达数据库!$A:$A,[1]邦达数据库!$C:$C)</f>
        <v>#N/A</v>
      </c>
    </row>
    <row r="1186" ht="30" customHeight="1" spans="1:6">
      <c r="A1186" s="2" t="s">
        <v>2667</v>
      </c>
      <c r="B1186" s="3" t="s">
        <v>97</v>
      </c>
      <c r="C1186" s="3" t="s">
        <v>98</v>
      </c>
      <c r="D1186" s="3" t="s">
        <v>2668</v>
      </c>
      <c r="E1186" s="3" t="s">
        <v>2669</v>
      </c>
      <c r="F1186" t="e">
        <f>_xlfn.XLOOKUP(A1186,[1]邦达数据库!$A:$A,[1]邦达数据库!$C:$C)</f>
        <v>#N/A</v>
      </c>
    </row>
    <row r="1187" ht="30" customHeight="1" spans="1:6">
      <c r="A1187" s="4" t="s">
        <v>2670</v>
      </c>
      <c r="B1187" s="5" t="s">
        <v>97</v>
      </c>
      <c r="C1187" s="5" t="s">
        <v>98</v>
      </c>
      <c r="D1187" s="5" t="s">
        <v>1294</v>
      </c>
      <c r="E1187" s="5" t="s">
        <v>1295</v>
      </c>
      <c r="F1187" t="e">
        <f>_xlfn.XLOOKUP(A1187,[1]邦达数据库!$A:$A,[1]邦达数据库!$C:$C)</f>
        <v>#N/A</v>
      </c>
    </row>
    <row r="1188" ht="30" customHeight="1" spans="1:6">
      <c r="A1188" s="2" t="s">
        <v>2671</v>
      </c>
      <c r="B1188" s="3" t="s">
        <v>97</v>
      </c>
      <c r="C1188" s="3" t="s">
        <v>98</v>
      </c>
      <c r="D1188" s="3" t="s">
        <v>2672</v>
      </c>
      <c r="E1188" s="3" t="s">
        <v>2673</v>
      </c>
      <c r="F1188" t="e">
        <f>_xlfn.XLOOKUP(A1188,[1]邦达数据库!$A:$A,[1]邦达数据库!$C:$C)</f>
        <v>#N/A</v>
      </c>
    </row>
    <row r="1189" ht="30" customHeight="1" spans="1:6">
      <c r="A1189" s="4" t="s">
        <v>2674</v>
      </c>
      <c r="B1189" s="5" t="s">
        <v>2675</v>
      </c>
      <c r="C1189" s="5" t="s">
        <v>318</v>
      </c>
      <c r="D1189" s="5" t="s">
        <v>1394</v>
      </c>
      <c r="E1189" s="5" t="s">
        <v>1395</v>
      </c>
      <c r="F1189">
        <f>_xlfn.XLOOKUP(A1189,[1]邦达数据库!$A:$A,[1]邦达数据库!$C:$C)</f>
        <v>7308300000</v>
      </c>
    </row>
    <row r="1190" ht="30" customHeight="1" spans="1:6">
      <c r="A1190" s="2" t="s">
        <v>2676</v>
      </c>
      <c r="B1190" s="3" t="s">
        <v>2675</v>
      </c>
      <c r="C1190" s="3" t="s">
        <v>318</v>
      </c>
      <c r="D1190" s="3" t="s">
        <v>256</v>
      </c>
      <c r="E1190" s="3" t="s">
        <v>257</v>
      </c>
      <c r="F1190" t="e">
        <f>_xlfn.XLOOKUP(A1190,[1]邦达数据库!$A:$A,[1]邦达数据库!$C:$C)</f>
        <v>#N/A</v>
      </c>
    </row>
    <row r="1191" ht="30" customHeight="1" spans="1:6">
      <c r="A1191" s="4" t="s">
        <v>2677</v>
      </c>
      <c r="B1191" s="5" t="s">
        <v>2678</v>
      </c>
      <c r="C1191" s="5" t="s">
        <v>865</v>
      </c>
      <c r="D1191" s="5" t="s">
        <v>1646</v>
      </c>
      <c r="E1191" s="5" t="s">
        <v>1647</v>
      </c>
      <c r="F1191" t="e">
        <f>_xlfn.XLOOKUP(A1191,[1]邦达数据库!$A:$A,[1]邦达数据库!$C:$C)</f>
        <v>#N/A</v>
      </c>
    </row>
    <row r="1192" ht="30" customHeight="1" spans="1:6">
      <c r="A1192" s="4" t="s">
        <v>2679</v>
      </c>
      <c r="B1192" s="5" t="s">
        <v>2680</v>
      </c>
      <c r="C1192" s="5" t="s">
        <v>2681</v>
      </c>
      <c r="D1192" s="5" t="s">
        <v>2682</v>
      </c>
      <c r="E1192" s="5" t="s">
        <v>2683</v>
      </c>
      <c r="F1192" t="e">
        <f>_xlfn.XLOOKUP(A1192,[1]邦达数据库!$A:$A,[1]邦达数据库!$C:$C)</f>
        <v>#N/A</v>
      </c>
    </row>
    <row r="1193" ht="30" customHeight="1" spans="1:6">
      <c r="A1193" s="2" t="s">
        <v>2684</v>
      </c>
      <c r="B1193" s="3" t="s">
        <v>2685</v>
      </c>
      <c r="C1193" s="3" t="s">
        <v>811</v>
      </c>
      <c r="D1193" s="3" t="s">
        <v>2686</v>
      </c>
      <c r="E1193" s="3" t="s">
        <v>2687</v>
      </c>
      <c r="F1193" t="e">
        <f>_xlfn.XLOOKUP(A1193,[1]邦达数据库!$A:$A,[1]邦达数据库!$C:$C)</f>
        <v>#N/A</v>
      </c>
    </row>
    <row r="1194" ht="30" customHeight="1" spans="1:6">
      <c r="A1194" s="4" t="s">
        <v>2688</v>
      </c>
      <c r="B1194" s="5" t="s">
        <v>2685</v>
      </c>
      <c r="C1194" s="5" t="s">
        <v>811</v>
      </c>
      <c r="D1194" s="5" t="s">
        <v>2689</v>
      </c>
      <c r="E1194" s="5" t="s">
        <v>2690</v>
      </c>
      <c r="F1194" t="e">
        <f>_xlfn.XLOOKUP(A1194,[1]邦达数据库!$A:$A,[1]邦达数据库!$C:$C)</f>
        <v>#N/A</v>
      </c>
    </row>
    <row r="1195" ht="30" customHeight="1" spans="1:6">
      <c r="A1195" s="2" t="s">
        <v>2691</v>
      </c>
      <c r="B1195" s="3" t="s">
        <v>2685</v>
      </c>
      <c r="C1195" s="3" t="s">
        <v>811</v>
      </c>
      <c r="D1195" s="3" t="s">
        <v>2692</v>
      </c>
      <c r="E1195" s="3" t="s">
        <v>2693</v>
      </c>
      <c r="F1195" t="e">
        <f>_xlfn.XLOOKUP(A1195,[1]邦达数据库!$A:$A,[1]邦达数据库!$C:$C)</f>
        <v>#N/A</v>
      </c>
    </row>
    <row r="1196" ht="30" customHeight="1" spans="1:6">
      <c r="A1196" s="4" t="s">
        <v>2694</v>
      </c>
      <c r="B1196" s="5" t="s">
        <v>2685</v>
      </c>
      <c r="C1196" s="5" t="s">
        <v>811</v>
      </c>
      <c r="D1196" s="5" t="s">
        <v>1389</v>
      </c>
      <c r="E1196" s="5" t="s">
        <v>1390</v>
      </c>
      <c r="F1196" t="e">
        <f>_xlfn.XLOOKUP(A1196,[1]邦达数据库!$A:$A,[1]邦达数据库!$C:$C)</f>
        <v>#N/A</v>
      </c>
    </row>
    <row r="1197" ht="30" customHeight="1" spans="1:6">
      <c r="A1197" s="2" t="s">
        <v>2695</v>
      </c>
      <c r="B1197" s="3" t="s">
        <v>2685</v>
      </c>
      <c r="C1197" s="3" t="s">
        <v>811</v>
      </c>
      <c r="D1197" s="3" t="s">
        <v>2696</v>
      </c>
      <c r="E1197" s="3" t="s">
        <v>2697</v>
      </c>
      <c r="F1197" t="e">
        <f>_xlfn.XLOOKUP(A1197,[1]邦达数据库!$A:$A,[1]邦达数据库!$C:$C)</f>
        <v>#N/A</v>
      </c>
    </row>
    <row r="1198" ht="30" customHeight="1" spans="1:6">
      <c r="A1198" s="4" t="s">
        <v>2698</v>
      </c>
      <c r="B1198" s="5" t="s">
        <v>259</v>
      </c>
      <c r="C1198" s="5" t="s">
        <v>265</v>
      </c>
      <c r="D1198" s="5" t="s">
        <v>38</v>
      </c>
      <c r="E1198" s="5" t="s">
        <v>39</v>
      </c>
      <c r="F1198" t="e">
        <f>_xlfn.XLOOKUP(A1198,[1]邦达数据库!$A:$A,[1]邦达数据库!$C:$C)</f>
        <v>#N/A</v>
      </c>
    </row>
    <row r="1199" ht="30" customHeight="1" spans="1:6">
      <c r="A1199" s="2" t="s">
        <v>2699</v>
      </c>
      <c r="B1199" s="3" t="s">
        <v>259</v>
      </c>
      <c r="C1199" s="3" t="s">
        <v>265</v>
      </c>
      <c r="D1199" s="3" t="s">
        <v>1537</v>
      </c>
      <c r="E1199" s="3" t="s">
        <v>1538</v>
      </c>
      <c r="F1199" t="e">
        <f>_xlfn.XLOOKUP(A1199,[1]邦达数据库!$A:$A,[1]邦达数据库!$C:$C)</f>
        <v>#N/A</v>
      </c>
    </row>
    <row r="1200" ht="30" customHeight="1" spans="1:6">
      <c r="A1200" s="4" t="s">
        <v>2700</v>
      </c>
      <c r="B1200" s="5" t="s">
        <v>2701</v>
      </c>
      <c r="C1200" s="5" t="s">
        <v>83</v>
      </c>
      <c r="D1200" s="5" t="s">
        <v>1646</v>
      </c>
      <c r="E1200" s="5" t="s">
        <v>1647</v>
      </c>
      <c r="F1200" t="e">
        <f>_xlfn.XLOOKUP(A1200,[1]邦达数据库!$A:$A,[1]邦达数据库!$C:$C)</f>
        <v>#N/A</v>
      </c>
    </row>
    <row r="1201" ht="30" customHeight="1" spans="1:6">
      <c r="A1201" s="2" t="s">
        <v>2702</v>
      </c>
      <c r="B1201" s="3" t="s">
        <v>2703</v>
      </c>
      <c r="C1201" s="3" t="s">
        <v>1065</v>
      </c>
      <c r="D1201" s="3" t="s">
        <v>2083</v>
      </c>
      <c r="E1201" s="3" t="s">
        <v>2084</v>
      </c>
      <c r="F1201" t="e">
        <f>_xlfn.XLOOKUP(A1201,[1]邦达数据库!$A:$A,[1]邦达数据库!$C:$C)</f>
        <v>#N/A</v>
      </c>
    </row>
    <row r="1202" ht="30" customHeight="1" spans="1:6">
      <c r="A1202" s="4" t="s">
        <v>2704</v>
      </c>
      <c r="B1202" s="5" t="s">
        <v>2363</v>
      </c>
      <c r="C1202" s="5" t="s">
        <v>63</v>
      </c>
      <c r="D1202" s="5" t="s">
        <v>1143</v>
      </c>
      <c r="E1202" s="5" t="s">
        <v>1144</v>
      </c>
      <c r="F1202" t="e">
        <f>_xlfn.XLOOKUP(A1202,[1]邦达数据库!$A:$A,[1]邦达数据库!$C:$C)</f>
        <v>#N/A</v>
      </c>
    </row>
    <row r="1203" ht="30" customHeight="1" spans="1:6">
      <c r="A1203" s="2" t="s">
        <v>2705</v>
      </c>
      <c r="B1203" s="3" t="s">
        <v>2706</v>
      </c>
      <c r="C1203" s="3" t="s">
        <v>1023</v>
      </c>
      <c r="D1203" s="3" t="s">
        <v>2707</v>
      </c>
      <c r="E1203" s="3" t="s">
        <v>2708</v>
      </c>
      <c r="F1203" t="e">
        <f>_xlfn.XLOOKUP(A1203,[1]邦达数据库!$A:$A,[1]邦达数据库!$C:$C)</f>
        <v>#N/A</v>
      </c>
    </row>
    <row r="1204" ht="30" customHeight="1" spans="1:6">
      <c r="A1204" s="4" t="s">
        <v>2709</v>
      </c>
      <c r="B1204" s="5" t="s">
        <v>2706</v>
      </c>
      <c r="C1204" s="5" t="s">
        <v>1023</v>
      </c>
      <c r="D1204" s="5" t="s">
        <v>173</v>
      </c>
      <c r="E1204" s="5" t="s">
        <v>174</v>
      </c>
      <c r="F1204" t="e">
        <f>_xlfn.XLOOKUP(A1204,[1]邦达数据库!$A:$A,[1]邦达数据库!$C:$C)</f>
        <v>#N/A</v>
      </c>
    </row>
    <row r="1205" ht="30" customHeight="1" spans="1:6">
      <c r="A1205" s="2" t="s">
        <v>2710</v>
      </c>
      <c r="B1205" s="3" t="s">
        <v>2706</v>
      </c>
      <c r="C1205" s="3" t="s">
        <v>1023</v>
      </c>
      <c r="D1205" s="3" t="s">
        <v>173</v>
      </c>
      <c r="E1205" s="3" t="s">
        <v>174</v>
      </c>
      <c r="F1205" t="e">
        <f>_xlfn.XLOOKUP(A1205,[1]邦达数据库!$A:$A,[1]邦达数据库!$C:$C)</f>
        <v>#N/A</v>
      </c>
    </row>
    <row r="1206" ht="30" customHeight="1" spans="1:6">
      <c r="A1206" s="4" t="s">
        <v>2711</v>
      </c>
      <c r="B1206" s="5" t="s">
        <v>2712</v>
      </c>
      <c r="C1206" s="5" t="s">
        <v>1023</v>
      </c>
      <c r="D1206" s="5" t="s">
        <v>173</v>
      </c>
      <c r="E1206" s="5" t="s">
        <v>174</v>
      </c>
      <c r="F1206" t="e">
        <f>_xlfn.XLOOKUP(A1206,[1]邦达数据库!$A:$A,[1]邦达数据库!$C:$C)</f>
        <v>#N/A</v>
      </c>
    </row>
    <row r="1207" ht="30" customHeight="1" spans="1:6">
      <c r="A1207" s="2" t="s">
        <v>2713</v>
      </c>
      <c r="B1207" s="3" t="s">
        <v>2712</v>
      </c>
      <c r="C1207" s="3" t="s">
        <v>1023</v>
      </c>
      <c r="D1207" s="3" t="s">
        <v>173</v>
      </c>
      <c r="E1207" s="3" t="s">
        <v>174</v>
      </c>
      <c r="F1207" t="e">
        <f>_xlfn.XLOOKUP(A1207,[1]邦达数据库!$A:$A,[1]邦达数据库!$C:$C)</f>
        <v>#N/A</v>
      </c>
    </row>
    <row r="1208" ht="30" customHeight="1" spans="1:6">
      <c r="A1208" s="2" t="s">
        <v>2714</v>
      </c>
      <c r="B1208" s="3" t="s">
        <v>2715</v>
      </c>
      <c r="C1208" s="3" t="s">
        <v>1023</v>
      </c>
      <c r="D1208" s="3" t="s">
        <v>2716</v>
      </c>
      <c r="E1208" s="3" t="s">
        <v>2717</v>
      </c>
      <c r="F1208" t="e">
        <f>_xlfn.XLOOKUP(A1208,[1]邦达数据库!$A:$A,[1]邦达数据库!$C:$C)</f>
        <v>#N/A</v>
      </c>
    </row>
    <row r="1209" ht="30" customHeight="1" spans="1:6">
      <c r="A1209" s="2" t="s">
        <v>2718</v>
      </c>
      <c r="B1209" s="3" t="s">
        <v>2719</v>
      </c>
      <c r="C1209" s="3" t="s">
        <v>63</v>
      </c>
      <c r="D1209" s="3" t="s">
        <v>243</v>
      </c>
      <c r="E1209" s="3" t="s">
        <v>244</v>
      </c>
      <c r="F1209" t="e">
        <f>_xlfn.XLOOKUP(A1209,[1]邦达数据库!$A:$A,[1]邦达数据库!$C:$C)</f>
        <v>#N/A</v>
      </c>
    </row>
    <row r="1210" ht="30" customHeight="1" spans="1:6">
      <c r="A1210" s="4" t="s">
        <v>2720</v>
      </c>
      <c r="B1210" s="5" t="s">
        <v>2719</v>
      </c>
      <c r="C1210" s="5" t="s">
        <v>63</v>
      </c>
      <c r="D1210" s="5" t="s">
        <v>243</v>
      </c>
      <c r="E1210" s="5" t="s">
        <v>244</v>
      </c>
      <c r="F1210" t="e">
        <f>_xlfn.XLOOKUP(A1210,[1]邦达数据库!$A:$A,[1]邦达数据库!$C:$C)</f>
        <v>#N/A</v>
      </c>
    </row>
    <row r="1211" ht="30" customHeight="1" spans="1:6">
      <c r="A1211" s="2" t="s">
        <v>2721</v>
      </c>
      <c r="B1211" s="3" t="s">
        <v>2719</v>
      </c>
      <c r="C1211" s="3" t="s">
        <v>63</v>
      </c>
      <c r="D1211" s="3" t="s">
        <v>243</v>
      </c>
      <c r="E1211" s="3" t="s">
        <v>244</v>
      </c>
      <c r="F1211" t="e">
        <f>_xlfn.XLOOKUP(A1211,[1]邦达数据库!$A:$A,[1]邦达数据库!$C:$C)</f>
        <v>#N/A</v>
      </c>
    </row>
    <row r="1212" ht="30" customHeight="1" spans="1:6">
      <c r="A1212" s="4" t="s">
        <v>2722</v>
      </c>
      <c r="B1212" s="5" t="s">
        <v>2719</v>
      </c>
      <c r="C1212" s="5" t="s">
        <v>63</v>
      </c>
      <c r="D1212" s="5" t="s">
        <v>243</v>
      </c>
      <c r="E1212" s="5" t="s">
        <v>244</v>
      </c>
      <c r="F1212" t="e">
        <f>_xlfn.XLOOKUP(A1212,[1]邦达数据库!$A:$A,[1]邦达数据库!$C:$C)</f>
        <v>#N/A</v>
      </c>
    </row>
    <row r="1213" ht="30" customHeight="1" spans="1:6">
      <c r="A1213" s="2" t="s">
        <v>2723</v>
      </c>
      <c r="B1213" s="3" t="s">
        <v>2724</v>
      </c>
      <c r="C1213" s="3" t="s">
        <v>2725</v>
      </c>
      <c r="D1213" s="3" t="s">
        <v>170</v>
      </c>
      <c r="E1213" s="3" t="s">
        <v>171</v>
      </c>
      <c r="F1213" t="e">
        <f>_xlfn.XLOOKUP(A1213,[1]邦达数据库!$A:$A,[1]邦达数据库!$C:$C)</f>
        <v>#N/A</v>
      </c>
    </row>
    <row r="1214" ht="30" customHeight="1" spans="1:6">
      <c r="A1214" s="4" t="s">
        <v>2726</v>
      </c>
      <c r="B1214" s="5" t="s">
        <v>2727</v>
      </c>
      <c r="C1214" s="5" t="s">
        <v>17</v>
      </c>
      <c r="D1214" s="5" t="s">
        <v>360</v>
      </c>
      <c r="E1214" s="5" t="s">
        <v>361</v>
      </c>
      <c r="F1214" t="e">
        <f>_xlfn.XLOOKUP(A1214,[1]邦达数据库!$A:$A,[1]邦达数据库!$C:$C)</f>
        <v>#N/A</v>
      </c>
    </row>
    <row r="1215" ht="30" customHeight="1" spans="1:6">
      <c r="A1215" s="2" t="s">
        <v>2728</v>
      </c>
      <c r="B1215" s="3" t="s">
        <v>2729</v>
      </c>
      <c r="C1215" s="3" t="s">
        <v>2730</v>
      </c>
      <c r="D1215" s="3" t="s">
        <v>170</v>
      </c>
      <c r="E1215" s="3" t="s">
        <v>171</v>
      </c>
      <c r="F1215" t="e">
        <f>_xlfn.XLOOKUP(A1215,[1]邦达数据库!$A:$A,[1]邦达数据库!$C:$C)</f>
        <v>#N/A</v>
      </c>
    </row>
    <row r="1216" ht="30" customHeight="1" spans="1:6">
      <c r="A1216" s="4" t="s">
        <v>2731</v>
      </c>
      <c r="B1216" s="5" t="s">
        <v>846</v>
      </c>
      <c r="C1216" s="5" t="s">
        <v>17</v>
      </c>
      <c r="D1216" s="5" t="s">
        <v>170</v>
      </c>
      <c r="E1216" s="5" t="s">
        <v>171</v>
      </c>
      <c r="F1216" t="e">
        <f>_xlfn.XLOOKUP(A1216,[1]邦达数据库!$A:$A,[1]邦达数据库!$C:$C)</f>
        <v>#N/A</v>
      </c>
    </row>
    <row r="1217" ht="30" customHeight="1" spans="1:6">
      <c r="A1217" s="2" t="s">
        <v>2732</v>
      </c>
      <c r="B1217" s="3" t="s">
        <v>846</v>
      </c>
      <c r="C1217" s="3" t="s">
        <v>17</v>
      </c>
      <c r="D1217" s="3" t="s">
        <v>170</v>
      </c>
      <c r="E1217" s="3" t="s">
        <v>171</v>
      </c>
      <c r="F1217" t="e">
        <f>_xlfn.XLOOKUP(A1217,[1]邦达数据库!$A:$A,[1]邦达数据库!$C:$C)</f>
        <v>#N/A</v>
      </c>
    </row>
    <row r="1218" ht="30" customHeight="1" spans="1:6">
      <c r="A1218" s="4" t="s">
        <v>2733</v>
      </c>
      <c r="B1218" s="5" t="s">
        <v>846</v>
      </c>
      <c r="C1218" s="5" t="s">
        <v>17</v>
      </c>
      <c r="D1218" s="5" t="s">
        <v>1856</v>
      </c>
      <c r="E1218" s="5" t="s">
        <v>1857</v>
      </c>
      <c r="F1218" t="e">
        <f>_xlfn.XLOOKUP(A1218,[1]邦达数据库!$A:$A,[1]邦达数据库!$C:$C)</f>
        <v>#N/A</v>
      </c>
    </row>
    <row r="1219" ht="30" customHeight="1" spans="1:6">
      <c r="A1219" s="2" t="s">
        <v>2734</v>
      </c>
      <c r="B1219" s="3" t="s">
        <v>846</v>
      </c>
      <c r="C1219" s="3" t="s">
        <v>17</v>
      </c>
      <c r="D1219" s="3" t="s">
        <v>170</v>
      </c>
      <c r="E1219" s="3" t="s">
        <v>171</v>
      </c>
      <c r="F1219" t="e">
        <f>_xlfn.XLOOKUP(A1219,[1]邦达数据库!$A:$A,[1]邦达数据库!$C:$C)</f>
        <v>#N/A</v>
      </c>
    </row>
    <row r="1220" ht="30" customHeight="1" spans="1:6">
      <c r="A1220" s="4" t="s">
        <v>2735</v>
      </c>
      <c r="B1220" s="5" t="s">
        <v>846</v>
      </c>
      <c r="C1220" s="5" t="s">
        <v>17</v>
      </c>
      <c r="D1220" s="5" t="s">
        <v>2736</v>
      </c>
      <c r="E1220" s="5" t="s">
        <v>2737</v>
      </c>
      <c r="F1220" t="e">
        <f>_xlfn.XLOOKUP(A1220,[1]邦达数据库!$A:$A,[1]邦达数据库!$C:$C)</f>
        <v>#N/A</v>
      </c>
    </row>
    <row r="1221" ht="30" customHeight="1" spans="1:6">
      <c r="A1221" s="2" t="s">
        <v>2738</v>
      </c>
      <c r="B1221" s="3" t="s">
        <v>846</v>
      </c>
      <c r="C1221" s="3" t="s">
        <v>17</v>
      </c>
      <c r="D1221" s="3" t="s">
        <v>170</v>
      </c>
      <c r="E1221" s="3" t="s">
        <v>171</v>
      </c>
      <c r="F1221" t="e">
        <f>_xlfn.XLOOKUP(A1221,[1]邦达数据库!$A:$A,[1]邦达数据库!$C:$C)</f>
        <v>#N/A</v>
      </c>
    </row>
    <row r="1222" ht="30" customHeight="1" spans="1:6">
      <c r="A1222" s="4" t="s">
        <v>2739</v>
      </c>
      <c r="B1222" s="5" t="s">
        <v>846</v>
      </c>
      <c r="C1222" s="5" t="s">
        <v>17</v>
      </c>
      <c r="D1222" s="5" t="s">
        <v>170</v>
      </c>
      <c r="E1222" s="5" t="s">
        <v>171</v>
      </c>
      <c r="F1222" t="e">
        <f>_xlfn.XLOOKUP(A1222,[1]邦达数据库!$A:$A,[1]邦达数据库!$C:$C)</f>
        <v>#N/A</v>
      </c>
    </row>
    <row r="1223" ht="30" customHeight="1" spans="1:6">
      <c r="A1223" s="2" t="s">
        <v>2740</v>
      </c>
      <c r="B1223" s="3" t="s">
        <v>846</v>
      </c>
      <c r="C1223" s="3" t="s">
        <v>17</v>
      </c>
      <c r="D1223" s="3" t="s">
        <v>170</v>
      </c>
      <c r="E1223" s="3" t="s">
        <v>171</v>
      </c>
      <c r="F1223" t="e">
        <f>_xlfn.XLOOKUP(A1223,[1]邦达数据库!$A:$A,[1]邦达数据库!$C:$C)</f>
        <v>#N/A</v>
      </c>
    </row>
    <row r="1224" ht="30" customHeight="1" spans="1:6">
      <c r="A1224" s="4" t="s">
        <v>2741</v>
      </c>
      <c r="B1224" s="5" t="s">
        <v>846</v>
      </c>
      <c r="C1224" s="5" t="s">
        <v>17</v>
      </c>
      <c r="D1224" s="5" t="s">
        <v>1038</v>
      </c>
      <c r="E1224" s="5" t="s">
        <v>1039</v>
      </c>
      <c r="F1224" t="e">
        <f>_xlfn.XLOOKUP(A1224,[1]邦达数据库!$A:$A,[1]邦达数据库!$C:$C)</f>
        <v>#N/A</v>
      </c>
    </row>
    <row r="1225" ht="30" customHeight="1" spans="1:6">
      <c r="A1225" s="2" t="s">
        <v>2742</v>
      </c>
      <c r="B1225" s="3" t="s">
        <v>846</v>
      </c>
      <c r="C1225" s="3" t="s">
        <v>17</v>
      </c>
      <c r="D1225" s="3" t="s">
        <v>2743</v>
      </c>
      <c r="E1225" s="3" t="s">
        <v>2744</v>
      </c>
      <c r="F1225" t="e">
        <f>_xlfn.XLOOKUP(A1225,[1]邦达数据库!$A:$A,[1]邦达数据库!$C:$C)</f>
        <v>#N/A</v>
      </c>
    </row>
    <row r="1226" ht="30" customHeight="1" spans="1:6">
      <c r="A1226" s="4" t="s">
        <v>2745</v>
      </c>
      <c r="B1226" s="5" t="s">
        <v>846</v>
      </c>
      <c r="C1226" s="5" t="s">
        <v>17</v>
      </c>
      <c r="D1226" s="5" t="s">
        <v>170</v>
      </c>
      <c r="E1226" s="5" t="s">
        <v>171</v>
      </c>
      <c r="F1226" t="e">
        <f>_xlfn.XLOOKUP(A1226,[1]邦达数据库!$A:$A,[1]邦达数据库!$C:$C)</f>
        <v>#N/A</v>
      </c>
    </row>
    <row r="1227" ht="30" customHeight="1" spans="1:6">
      <c r="A1227" s="2" t="s">
        <v>2746</v>
      </c>
      <c r="B1227" s="3" t="s">
        <v>846</v>
      </c>
      <c r="C1227" s="3" t="s">
        <v>17</v>
      </c>
      <c r="D1227" s="3" t="s">
        <v>2747</v>
      </c>
      <c r="E1227" s="3" t="s">
        <v>2748</v>
      </c>
      <c r="F1227" t="e">
        <f>_xlfn.XLOOKUP(A1227,[1]邦达数据库!$A:$A,[1]邦达数据库!$C:$C)</f>
        <v>#N/A</v>
      </c>
    </row>
    <row r="1228" ht="30" customHeight="1" spans="1:6">
      <c r="A1228" s="4" t="s">
        <v>2749</v>
      </c>
      <c r="B1228" s="5" t="s">
        <v>2750</v>
      </c>
      <c r="C1228" s="5" t="s">
        <v>98</v>
      </c>
      <c r="D1228" s="5" t="s">
        <v>223</v>
      </c>
      <c r="E1228" s="5" t="s">
        <v>224</v>
      </c>
      <c r="F1228" t="e">
        <f>_xlfn.XLOOKUP(A1228,[1]邦达数据库!$A:$A,[1]邦达数据库!$C:$C)</f>
        <v>#N/A</v>
      </c>
    </row>
    <row r="1229" ht="30" customHeight="1" spans="1:6">
      <c r="A1229" s="2" t="s">
        <v>2751</v>
      </c>
      <c r="B1229" s="3" t="s">
        <v>2752</v>
      </c>
      <c r="C1229" s="3" t="s">
        <v>1183</v>
      </c>
      <c r="D1229" s="3" t="s">
        <v>2753</v>
      </c>
      <c r="E1229" s="3" t="s">
        <v>2754</v>
      </c>
      <c r="F1229" t="e">
        <f>_xlfn.XLOOKUP(A1229,[1]邦达数据库!$A:$A,[1]邦达数据库!$C:$C)</f>
        <v>#N/A</v>
      </c>
    </row>
    <row r="1230" ht="30" customHeight="1" spans="1:6">
      <c r="A1230" s="4" t="s">
        <v>2755</v>
      </c>
      <c r="B1230" s="5" t="s">
        <v>2756</v>
      </c>
      <c r="C1230" s="5" t="s">
        <v>335</v>
      </c>
      <c r="D1230" s="5" t="s">
        <v>217</v>
      </c>
      <c r="E1230" s="5" t="s">
        <v>218</v>
      </c>
      <c r="F1230" t="e">
        <f>_xlfn.XLOOKUP(A1230,[1]邦达数据库!$A:$A,[1]邦达数据库!$C:$C)</f>
        <v>#N/A</v>
      </c>
    </row>
    <row r="1231" ht="30" customHeight="1" spans="1:6">
      <c r="A1231" s="2" t="s">
        <v>2757</v>
      </c>
      <c r="B1231" s="3" t="s">
        <v>2758</v>
      </c>
      <c r="C1231" s="3" t="s">
        <v>335</v>
      </c>
      <c r="D1231" s="3" t="s">
        <v>776</v>
      </c>
      <c r="E1231" s="3" t="s">
        <v>777</v>
      </c>
      <c r="F1231" t="e">
        <f>_xlfn.XLOOKUP(A1231,[1]邦达数据库!$A:$A,[1]邦达数据库!$C:$C)</f>
        <v>#N/A</v>
      </c>
    </row>
    <row r="1232" ht="30" customHeight="1" spans="1:6">
      <c r="A1232" s="4" t="s">
        <v>2759</v>
      </c>
      <c r="B1232" s="5" t="s">
        <v>2760</v>
      </c>
      <c r="C1232" s="5" t="s">
        <v>2761</v>
      </c>
      <c r="D1232" s="5" t="s">
        <v>2183</v>
      </c>
      <c r="E1232" s="5" t="s">
        <v>2184</v>
      </c>
      <c r="F1232" t="e">
        <f>_xlfn.XLOOKUP(A1232,[1]邦达数据库!$A:$A,[1]邦达数据库!$C:$C)</f>
        <v>#N/A</v>
      </c>
    </row>
    <row r="1233" ht="30" customHeight="1" spans="1:6">
      <c r="A1233" s="2" t="s">
        <v>2762</v>
      </c>
      <c r="B1233" s="3" t="s">
        <v>2760</v>
      </c>
      <c r="C1233" s="3" t="s">
        <v>2761</v>
      </c>
      <c r="D1233" s="3" t="s">
        <v>2183</v>
      </c>
      <c r="E1233" s="3" t="s">
        <v>2184</v>
      </c>
      <c r="F1233" t="e">
        <f>_xlfn.XLOOKUP(A1233,[1]邦达数据库!$A:$A,[1]邦达数据库!$C:$C)</f>
        <v>#N/A</v>
      </c>
    </row>
    <row r="1234" ht="30" customHeight="1" spans="1:6">
      <c r="A1234" s="4" t="s">
        <v>2763</v>
      </c>
      <c r="B1234" s="5" t="s">
        <v>2764</v>
      </c>
      <c r="C1234" s="5" t="s">
        <v>2054</v>
      </c>
      <c r="D1234" s="5" t="s">
        <v>1801</v>
      </c>
      <c r="E1234" s="5" t="s">
        <v>1802</v>
      </c>
      <c r="F1234" t="e">
        <f>_xlfn.XLOOKUP(A1234,[1]邦达数据库!$A:$A,[1]邦达数据库!$C:$C)</f>
        <v>#N/A</v>
      </c>
    </row>
    <row r="1235" ht="30" customHeight="1" spans="1:6">
      <c r="A1235" s="2" t="s">
        <v>2765</v>
      </c>
      <c r="B1235" s="3" t="s">
        <v>2764</v>
      </c>
      <c r="C1235" s="3" t="s">
        <v>2054</v>
      </c>
      <c r="D1235" s="3" t="s">
        <v>2177</v>
      </c>
      <c r="E1235" s="3" t="s">
        <v>2178</v>
      </c>
      <c r="F1235" t="e">
        <f>_xlfn.XLOOKUP(A1235,[1]邦达数据库!$A:$A,[1]邦达数据库!$C:$C)</f>
        <v>#N/A</v>
      </c>
    </row>
    <row r="1236" ht="30" customHeight="1" spans="1:6">
      <c r="A1236" s="4" t="s">
        <v>2766</v>
      </c>
      <c r="B1236" s="5" t="s">
        <v>2767</v>
      </c>
      <c r="C1236" s="5" t="s">
        <v>221</v>
      </c>
      <c r="D1236" s="5" t="s">
        <v>276</v>
      </c>
      <c r="E1236" s="5" t="s">
        <v>277</v>
      </c>
      <c r="F1236" t="e">
        <f>_xlfn.XLOOKUP(A1236,[1]邦达数据库!$A:$A,[1]邦达数据库!$C:$C)</f>
        <v>#N/A</v>
      </c>
    </row>
    <row r="1237" ht="30" customHeight="1" spans="1:6">
      <c r="A1237" s="2" t="s">
        <v>2768</v>
      </c>
      <c r="B1237" s="3" t="s">
        <v>2769</v>
      </c>
      <c r="C1237" s="3" t="s">
        <v>335</v>
      </c>
      <c r="D1237" s="3" t="s">
        <v>524</v>
      </c>
      <c r="E1237" s="3" t="s">
        <v>525</v>
      </c>
      <c r="F1237" t="e">
        <f>_xlfn.XLOOKUP(A1237,[1]邦达数据库!$A:$A,[1]邦达数据库!$C:$C)</f>
        <v>#N/A</v>
      </c>
    </row>
    <row r="1238" ht="30" customHeight="1" spans="1:6">
      <c r="A1238" s="4" t="s">
        <v>2770</v>
      </c>
      <c r="B1238" s="5" t="s">
        <v>324</v>
      </c>
      <c r="C1238" s="5" t="s">
        <v>330</v>
      </c>
      <c r="D1238" s="5" t="s">
        <v>2771</v>
      </c>
      <c r="E1238" s="5" t="s">
        <v>2772</v>
      </c>
      <c r="F1238" t="e">
        <f>_xlfn.XLOOKUP(A1238,[1]邦达数据库!$A:$A,[1]邦达数据库!$C:$C)</f>
        <v>#N/A</v>
      </c>
    </row>
    <row r="1239" ht="30" customHeight="1" spans="1:6">
      <c r="A1239" s="2" t="s">
        <v>2773</v>
      </c>
      <c r="B1239" s="3" t="s">
        <v>2774</v>
      </c>
      <c r="C1239" s="3" t="s">
        <v>270</v>
      </c>
      <c r="D1239" s="3" t="s">
        <v>271</v>
      </c>
      <c r="E1239" s="3" t="s">
        <v>272</v>
      </c>
      <c r="F1239" t="e">
        <f>_xlfn.XLOOKUP(A1239,[1]邦达数据库!$A:$A,[1]邦达数据库!$C:$C)</f>
        <v>#N/A</v>
      </c>
    </row>
    <row r="1240" ht="30" customHeight="1" spans="1:6">
      <c r="A1240" s="4" t="s">
        <v>2775</v>
      </c>
      <c r="B1240" s="5" t="s">
        <v>2776</v>
      </c>
      <c r="C1240" s="5" t="s">
        <v>874</v>
      </c>
      <c r="D1240" s="5" t="s">
        <v>170</v>
      </c>
      <c r="E1240" s="5" t="s">
        <v>171</v>
      </c>
      <c r="F1240" t="e">
        <f>_xlfn.XLOOKUP(A1240,[1]邦达数据库!$A:$A,[1]邦达数据库!$C:$C)</f>
        <v>#N/A</v>
      </c>
    </row>
    <row r="1241" ht="30" customHeight="1" spans="1:6">
      <c r="A1241" s="2" t="s">
        <v>2777</v>
      </c>
      <c r="B1241" s="3" t="s">
        <v>2776</v>
      </c>
      <c r="C1241" s="3" t="s">
        <v>874</v>
      </c>
      <c r="D1241" s="3" t="s">
        <v>2736</v>
      </c>
      <c r="E1241" s="3" t="s">
        <v>2737</v>
      </c>
      <c r="F1241" t="e">
        <f>_xlfn.XLOOKUP(A1241,[1]邦达数据库!$A:$A,[1]邦达数据库!$C:$C)</f>
        <v>#N/A</v>
      </c>
    </row>
    <row r="1242" ht="30" customHeight="1" spans="1:6">
      <c r="A1242" s="4" t="s">
        <v>2778</v>
      </c>
      <c r="B1242" s="5" t="s">
        <v>2776</v>
      </c>
      <c r="C1242" s="5" t="s">
        <v>874</v>
      </c>
      <c r="D1242" s="5" t="s">
        <v>170</v>
      </c>
      <c r="E1242" s="5" t="s">
        <v>171</v>
      </c>
      <c r="F1242" t="e">
        <f>_xlfn.XLOOKUP(A1242,[1]邦达数据库!$A:$A,[1]邦达数据库!$C:$C)</f>
        <v>#N/A</v>
      </c>
    </row>
    <row r="1243" ht="30" customHeight="1" spans="1:6">
      <c r="A1243" s="2" t="s">
        <v>2779</v>
      </c>
      <c r="B1243" s="3" t="s">
        <v>2776</v>
      </c>
      <c r="C1243" s="3" t="s">
        <v>874</v>
      </c>
      <c r="D1243" s="3" t="s">
        <v>170</v>
      </c>
      <c r="E1243" s="3" t="s">
        <v>171</v>
      </c>
      <c r="F1243" t="e">
        <f>_xlfn.XLOOKUP(A1243,[1]邦达数据库!$A:$A,[1]邦达数据库!$C:$C)</f>
        <v>#N/A</v>
      </c>
    </row>
    <row r="1244" ht="30" customHeight="1" spans="1:6">
      <c r="A1244" s="4" t="s">
        <v>2780</v>
      </c>
      <c r="B1244" s="5" t="s">
        <v>2776</v>
      </c>
      <c r="C1244" s="5" t="s">
        <v>874</v>
      </c>
      <c r="D1244" s="5" t="s">
        <v>170</v>
      </c>
      <c r="E1244" s="5" t="s">
        <v>171</v>
      </c>
      <c r="F1244" t="e">
        <f>_xlfn.XLOOKUP(A1244,[1]邦达数据库!$A:$A,[1]邦达数据库!$C:$C)</f>
        <v>#N/A</v>
      </c>
    </row>
    <row r="1245" ht="30" customHeight="1" spans="1:6">
      <c r="A1245" s="2" t="s">
        <v>2781</v>
      </c>
      <c r="B1245" s="3" t="s">
        <v>1405</v>
      </c>
      <c r="C1245" s="3" t="s">
        <v>265</v>
      </c>
      <c r="D1245" s="3" t="s">
        <v>417</v>
      </c>
      <c r="E1245" s="3" t="s">
        <v>418</v>
      </c>
      <c r="F1245" t="e">
        <f>_xlfn.XLOOKUP(A1245,[1]邦达数据库!$A:$A,[1]邦达数据库!$C:$C)</f>
        <v>#N/A</v>
      </c>
    </row>
    <row r="1246" ht="30" customHeight="1" spans="1:6">
      <c r="A1246" s="4" t="s">
        <v>2782</v>
      </c>
      <c r="B1246" s="5" t="s">
        <v>1405</v>
      </c>
      <c r="C1246" s="5" t="s">
        <v>265</v>
      </c>
      <c r="D1246" s="5" t="s">
        <v>417</v>
      </c>
      <c r="E1246" s="5" t="s">
        <v>418</v>
      </c>
      <c r="F1246" t="e">
        <f>_xlfn.XLOOKUP(A1246,[1]邦达数据库!$A:$A,[1]邦达数据库!$C:$C)</f>
        <v>#N/A</v>
      </c>
    </row>
    <row r="1247" ht="30" customHeight="1" spans="1:6">
      <c r="A1247" s="2" t="s">
        <v>2783</v>
      </c>
      <c r="B1247" s="3" t="s">
        <v>1405</v>
      </c>
      <c r="C1247" s="3" t="s">
        <v>265</v>
      </c>
      <c r="D1247" s="3" t="s">
        <v>2784</v>
      </c>
      <c r="E1247" s="3" t="s">
        <v>2785</v>
      </c>
      <c r="F1247" t="e">
        <f>_xlfn.XLOOKUP(A1247,[1]邦达数据库!$A:$A,[1]邦达数据库!$C:$C)</f>
        <v>#N/A</v>
      </c>
    </row>
    <row r="1248" ht="30" customHeight="1" spans="1:6">
      <c r="A1248" s="4" t="s">
        <v>2786</v>
      </c>
      <c r="B1248" s="5" t="s">
        <v>1405</v>
      </c>
      <c r="C1248" s="5" t="s">
        <v>265</v>
      </c>
      <c r="D1248" s="5" t="s">
        <v>417</v>
      </c>
      <c r="E1248" s="5" t="s">
        <v>418</v>
      </c>
      <c r="F1248" t="e">
        <f>_xlfn.XLOOKUP(A1248,[1]邦达数据库!$A:$A,[1]邦达数据库!$C:$C)</f>
        <v>#N/A</v>
      </c>
    </row>
    <row r="1249" ht="30" customHeight="1" spans="1:6">
      <c r="A1249" s="2" t="s">
        <v>2787</v>
      </c>
      <c r="B1249" s="3" t="s">
        <v>2458</v>
      </c>
      <c r="C1249" s="3" t="s">
        <v>1464</v>
      </c>
      <c r="D1249" s="3" t="s">
        <v>856</v>
      </c>
      <c r="E1249" s="3" t="s">
        <v>857</v>
      </c>
      <c r="F1249" t="e">
        <f>_xlfn.XLOOKUP(A1249,[1]邦达数据库!$A:$A,[1]邦达数据库!$C:$C)</f>
        <v>#N/A</v>
      </c>
    </row>
    <row r="1250" ht="30" customHeight="1" spans="1:6">
      <c r="A1250" s="4" t="s">
        <v>2788</v>
      </c>
      <c r="B1250" s="5" t="s">
        <v>2458</v>
      </c>
      <c r="C1250" s="5" t="s">
        <v>1464</v>
      </c>
      <c r="D1250" s="5" t="s">
        <v>847</v>
      </c>
      <c r="E1250" s="5" t="s">
        <v>848</v>
      </c>
      <c r="F1250" t="e">
        <f>_xlfn.XLOOKUP(A1250,[1]邦达数据库!$A:$A,[1]邦达数据库!$C:$C)</f>
        <v>#N/A</v>
      </c>
    </row>
    <row r="1251" ht="30" customHeight="1" spans="1:6">
      <c r="A1251" s="2" t="s">
        <v>2789</v>
      </c>
      <c r="B1251" s="3" t="s">
        <v>2458</v>
      </c>
      <c r="C1251" s="3" t="s">
        <v>1464</v>
      </c>
      <c r="D1251" s="3" t="s">
        <v>1028</v>
      </c>
      <c r="E1251" s="3" t="s">
        <v>1029</v>
      </c>
      <c r="F1251" t="e">
        <f>_xlfn.XLOOKUP(A1251,[1]邦达数据库!$A:$A,[1]邦达数据库!$C:$C)</f>
        <v>#N/A</v>
      </c>
    </row>
    <row r="1252" ht="30" customHeight="1" spans="1:6">
      <c r="A1252" s="4" t="s">
        <v>2790</v>
      </c>
      <c r="B1252" s="5" t="s">
        <v>2791</v>
      </c>
      <c r="C1252" s="5" t="s">
        <v>2792</v>
      </c>
      <c r="D1252" s="5" t="s">
        <v>170</v>
      </c>
      <c r="E1252" s="5" t="s">
        <v>171</v>
      </c>
      <c r="F1252" t="e">
        <f>_xlfn.XLOOKUP(A1252,[1]邦达数据库!$A:$A,[1]邦达数据库!$C:$C)</f>
        <v>#N/A</v>
      </c>
    </row>
    <row r="1253" ht="30" customHeight="1" spans="1:6">
      <c r="A1253" s="2" t="s">
        <v>2793</v>
      </c>
      <c r="B1253" s="3" t="s">
        <v>2791</v>
      </c>
      <c r="C1253" s="3" t="s">
        <v>2792</v>
      </c>
      <c r="D1253" s="3" t="s">
        <v>170</v>
      </c>
      <c r="E1253" s="3" t="s">
        <v>171</v>
      </c>
      <c r="F1253" t="e">
        <f>_xlfn.XLOOKUP(A1253,[1]邦达数据库!$A:$A,[1]邦达数据库!$C:$C)</f>
        <v>#N/A</v>
      </c>
    </row>
    <row r="1254" ht="30" customHeight="1" spans="1:6">
      <c r="A1254" s="4" t="s">
        <v>2794</v>
      </c>
      <c r="B1254" s="5" t="s">
        <v>2795</v>
      </c>
      <c r="C1254" s="5" t="s">
        <v>17</v>
      </c>
      <c r="D1254" s="5" t="s">
        <v>2796</v>
      </c>
      <c r="E1254" s="5" t="s">
        <v>2797</v>
      </c>
      <c r="F1254" t="e">
        <f>_xlfn.XLOOKUP(A1254,[1]邦达数据库!$A:$A,[1]邦达数据库!$C:$C)</f>
        <v>#N/A</v>
      </c>
    </row>
    <row r="1255" ht="30" customHeight="1" spans="1:6">
      <c r="A1255" s="2" t="s">
        <v>2798</v>
      </c>
      <c r="B1255" s="3" t="s">
        <v>2799</v>
      </c>
      <c r="C1255" s="3" t="s">
        <v>842</v>
      </c>
      <c r="D1255" s="3" t="s">
        <v>871</v>
      </c>
      <c r="E1255" s="3" t="s">
        <v>872</v>
      </c>
      <c r="F1255" t="e">
        <f>_xlfn.XLOOKUP(A1255,[1]邦达数据库!$A:$A,[1]邦达数据库!$C:$C)</f>
        <v>#N/A</v>
      </c>
    </row>
    <row r="1256" ht="30" customHeight="1" spans="1:6">
      <c r="A1256" s="4" t="s">
        <v>2800</v>
      </c>
      <c r="B1256" s="5" t="s">
        <v>2801</v>
      </c>
      <c r="C1256" s="5" t="s">
        <v>335</v>
      </c>
      <c r="D1256" s="5" t="s">
        <v>1285</v>
      </c>
      <c r="E1256" s="5" t="s">
        <v>1286</v>
      </c>
      <c r="F1256" t="e">
        <f>_xlfn.XLOOKUP(A1256,[1]邦达数据库!$A:$A,[1]邦达数据库!$C:$C)</f>
        <v>#N/A</v>
      </c>
    </row>
    <row r="1257" ht="30" customHeight="1" spans="1:6">
      <c r="A1257" s="2" t="s">
        <v>2802</v>
      </c>
      <c r="B1257" s="3" t="s">
        <v>2801</v>
      </c>
      <c r="C1257" s="3" t="s">
        <v>335</v>
      </c>
      <c r="D1257" s="3" t="s">
        <v>1285</v>
      </c>
      <c r="E1257" s="3" t="s">
        <v>1286</v>
      </c>
      <c r="F1257" t="e">
        <f>_xlfn.XLOOKUP(A1257,[1]邦达数据库!$A:$A,[1]邦达数据库!$C:$C)</f>
        <v>#N/A</v>
      </c>
    </row>
    <row r="1258" ht="30" customHeight="1" spans="1:6">
      <c r="A1258" s="4" t="s">
        <v>2803</v>
      </c>
      <c r="B1258" s="5" t="s">
        <v>2804</v>
      </c>
      <c r="C1258" s="5" t="s">
        <v>17</v>
      </c>
      <c r="D1258" s="5" t="s">
        <v>2805</v>
      </c>
      <c r="E1258" s="5" t="s">
        <v>2806</v>
      </c>
      <c r="F1258" t="e">
        <f>_xlfn.XLOOKUP(A1258,[1]邦达数据库!$A:$A,[1]邦达数据库!$C:$C)</f>
        <v>#N/A</v>
      </c>
    </row>
    <row r="1259" ht="30" customHeight="1" spans="1:6">
      <c r="A1259" s="2" t="s">
        <v>2807</v>
      </c>
      <c r="B1259" s="3" t="s">
        <v>2804</v>
      </c>
      <c r="C1259" s="3" t="s">
        <v>2808</v>
      </c>
      <c r="D1259" s="3" t="s">
        <v>2809</v>
      </c>
      <c r="E1259" s="3" t="s">
        <v>2810</v>
      </c>
      <c r="F1259" t="e">
        <f>_xlfn.XLOOKUP(A1259,[1]邦达数据库!$A:$A,[1]邦达数据库!$C:$C)</f>
        <v>#N/A</v>
      </c>
    </row>
    <row r="1260" ht="30" customHeight="1" spans="1:6">
      <c r="A1260" s="4" t="s">
        <v>2811</v>
      </c>
      <c r="B1260" s="5" t="s">
        <v>2804</v>
      </c>
      <c r="C1260" s="5" t="s">
        <v>17</v>
      </c>
      <c r="D1260" s="5" t="s">
        <v>2805</v>
      </c>
      <c r="E1260" s="5" t="s">
        <v>2806</v>
      </c>
      <c r="F1260" t="e">
        <f>_xlfn.XLOOKUP(A1260,[1]邦达数据库!$A:$A,[1]邦达数据库!$C:$C)</f>
        <v>#N/A</v>
      </c>
    </row>
    <row r="1261" ht="30" customHeight="1" spans="1:6">
      <c r="A1261" s="2" t="s">
        <v>2812</v>
      </c>
      <c r="B1261" s="3" t="s">
        <v>2804</v>
      </c>
      <c r="C1261" s="3" t="s">
        <v>17</v>
      </c>
      <c r="D1261" s="3" t="s">
        <v>2805</v>
      </c>
      <c r="E1261" s="3" t="s">
        <v>2806</v>
      </c>
      <c r="F1261" t="e">
        <f>_xlfn.XLOOKUP(A1261,[1]邦达数据库!$A:$A,[1]邦达数据库!$C:$C)</f>
        <v>#N/A</v>
      </c>
    </row>
    <row r="1262" ht="30" customHeight="1" spans="1:6">
      <c r="A1262" s="4" t="s">
        <v>2813</v>
      </c>
      <c r="B1262" s="5" t="s">
        <v>2804</v>
      </c>
      <c r="C1262" s="5" t="s">
        <v>17</v>
      </c>
      <c r="D1262" s="5" t="s">
        <v>956</v>
      </c>
      <c r="E1262" s="5" t="s">
        <v>957</v>
      </c>
      <c r="F1262" t="e">
        <f>_xlfn.XLOOKUP(A1262,[1]邦达数据库!$A:$A,[1]邦达数据库!$C:$C)</f>
        <v>#N/A</v>
      </c>
    </row>
    <row r="1263" ht="30" customHeight="1" spans="1:6">
      <c r="A1263" s="2" t="s">
        <v>2814</v>
      </c>
      <c r="B1263" s="3" t="s">
        <v>2804</v>
      </c>
      <c r="C1263" s="3" t="s">
        <v>17</v>
      </c>
      <c r="D1263" s="3" t="s">
        <v>956</v>
      </c>
      <c r="E1263" s="3" t="s">
        <v>957</v>
      </c>
      <c r="F1263" t="e">
        <f>_xlfn.XLOOKUP(A1263,[1]邦达数据库!$A:$A,[1]邦达数据库!$C:$C)</f>
        <v>#N/A</v>
      </c>
    </row>
    <row r="1264" ht="30" customHeight="1" spans="1:6">
      <c r="A1264" s="4" t="s">
        <v>2815</v>
      </c>
      <c r="B1264" s="5" t="s">
        <v>2804</v>
      </c>
      <c r="C1264" s="5" t="s">
        <v>17</v>
      </c>
      <c r="D1264" s="5" t="s">
        <v>956</v>
      </c>
      <c r="E1264" s="5" t="s">
        <v>957</v>
      </c>
      <c r="F1264" t="e">
        <f>_xlfn.XLOOKUP(A1264,[1]邦达数据库!$A:$A,[1]邦达数据库!$C:$C)</f>
        <v>#N/A</v>
      </c>
    </row>
    <row r="1265" ht="30" customHeight="1" spans="1:6">
      <c r="A1265" s="2" t="s">
        <v>2816</v>
      </c>
      <c r="B1265" s="3" t="s">
        <v>2804</v>
      </c>
      <c r="C1265" s="3" t="s">
        <v>17</v>
      </c>
      <c r="D1265" s="3" t="s">
        <v>956</v>
      </c>
      <c r="E1265" s="3" t="s">
        <v>957</v>
      </c>
      <c r="F1265" t="e">
        <f>_xlfn.XLOOKUP(A1265,[1]邦达数据库!$A:$A,[1]邦达数据库!$C:$C)</f>
        <v>#N/A</v>
      </c>
    </row>
    <row r="1266" ht="30" customHeight="1" spans="1:6">
      <c r="A1266" s="4" t="s">
        <v>2817</v>
      </c>
      <c r="B1266" s="5" t="s">
        <v>2804</v>
      </c>
      <c r="C1266" s="5" t="s">
        <v>2808</v>
      </c>
      <c r="D1266" s="5" t="s">
        <v>181</v>
      </c>
      <c r="E1266" s="5" t="s">
        <v>182</v>
      </c>
      <c r="F1266" t="e">
        <f>_xlfn.XLOOKUP(A1266,[1]邦达数据库!$A:$A,[1]邦达数据库!$C:$C)</f>
        <v>#N/A</v>
      </c>
    </row>
    <row r="1267" ht="30" customHeight="1" spans="1:6">
      <c r="A1267" s="2" t="s">
        <v>2818</v>
      </c>
      <c r="B1267" s="3" t="s">
        <v>2804</v>
      </c>
      <c r="C1267" s="3" t="s">
        <v>2808</v>
      </c>
      <c r="D1267" s="3" t="s">
        <v>1380</v>
      </c>
      <c r="E1267" s="3" t="s">
        <v>1381</v>
      </c>
      <c r="F1267" t="e">
        <f>_xlfn.XLOOKUP(A1267,[1]邦达数据库!$A:$A,[1]邦达数据库!$C:$C)</f>
        <v>#N/A</v>
      </c>
    </row>
    <row r="1268" ht="30" customHeight="1" spans="1:6">
      <c r="A1268" s="4" t="s">
        <v>2819</v>
      </c>
      <c r="B1268" s="5" t="s">
        <v>2804</v>
      </c>
      <c r="C1268" s="5" t="s">
        <v>2808</v>
      </c>
      <c r="D1268" s="5" t="s">
        <v>181</v>
      </c>
      <c r="E1268" s="5" t="s">
        <v>182</v>
      </c>
      <c r="F1268" t="e">
        <f>_xlfn.XLOOKUP(A1268,[1]邦达数据库!$A:$A,[1]邦达数据库!$C:$C)</f>
        <v>#N/A</v>
      </c>
    </row>
    <row r="1269" ht="30" customHeight="1" spans="1:6">
      <c r="A1269" s="2" t="s">
        <v>2820</v>
      </c>
      <c r="B1269" s="3" t="s">
        <v>2804</v>
      </c>
      <c r="C1269" s="3" t="s">
        <v>2808</v>
      </c>
      <c r="D1269" s="3" t="s">
        <v>181</v>
      </c>
      <c r="E1269" s="3" t="s">
        <v>182</v>
      </c>
      <c r="F1269" t="e">
        <f>_xlfn.XLOOKUP(A1269,[1]邦达数据库!$A:$A,[1]邦达数据库!$C:$C)</f>
        <v>#N/A</v>
      </c>
    </row>
    <row r="1270" ht="30" customHeight="1" spans="1:6">
      <c r="A1270" s="2" t="s">
        <v>2821</v>
      </c>
      <c r="B1270" s="3" t="s">
        <v>2804</v>
      </c>
      <c r="C1270" s="3" t="s">
        <v>17</v>
      </c>
      <c r="D1270" s="3" t="s">
        <v>2822</v>
      </c>
      <c r="E1270" s="3" t="s">
        <v>2823</v>
      </c>
      <c r="F1270" t="e">
        <f>_xlfn.XLOOKUP(A1270,[1]邦达数据库!$A:$A,[1]邦达数据库!$C:$C)</f>
        <v>#N/A</v>
      </c>
    </row>
    <row r="1271" ht="30" customHeight="1" spans="1:6">
      <c r="A1271" s="4" t="s">
        <v>2824</v>
      </c>
      <c r="B1271" s="5" t="s">
        <v>2804</v>
      </c>
      <c r="C1271" s="5" t="s">
        <v>17</v>
      </c>
      <c r="D1271" s="5" t="s">
        <v>2822</v>
      </c>
      <c r="E1271" s="5" t="s">
        <v>2823</v>
      </c>
      <c r="F1271" t="e">
        <f>_xlfn.XLOOKUP(A1271,[1]邦达数据库!$A:$A,[1]邦达数据库!$C:$C)</f>
        <v>#N/A</v>
      </c>
    </row>
    <row r="1272" ht="30" customHeight="1" spans="1:6">
      <c r="A1272" s="2" t="s">
        <v>2825</v>
      </c>
      <c r="B1272" s="3" t="s">
        <v>2826</v>
      </c>
      <c r="C1272" s="3" t="s">
        <v>325</v>
      </c>
      <c r="D1272" s="3" t="s">
        <v>1356</v>
      </c>
      <c r="E1272" s="3" t="s">
        <v>1357</v>
      </c>
      <c r="F1272" t="e">
        <f>_xlfn.XLOOKUP(A1272,[1]邦达数据库!$A:$A,[1]邦达数据库!$C:$C)</f>
        <v>#N/A</v>
      </c>
    </row>
    <row r="1273" ht="30" customHeight="1" spans="1:6">
      <c r="A1273" s="4" t="s">
        <v>2827</v>
      </c>
      <c r="B1273" s="5" t="s">
        <v>209</v>
      </c>
      <c r="C1273" s="5" t="s">
        <v>210</v>
      </c>
      <c r="D1273" s="5" t="s">
        <v>2828</v>
      </c>
      <c r="E1273" s="5" t="s">
        <v>2829</v>
      </c>
      <c r="F1273" t="e">
        <f>_xlfn.XLOOKUP(A1273,[1]邦达数据库!$A:$A,[1]邦达数据库!$C:$C)</f>
        <v>#N/A</v>
      </c>
    </row>
    <row r="1274" ht="30" customHeight="1" spans="1:6">
      <c r="A1274" s="2" t="s">
        <v>2830</v>
      </c>
      <c r="B1274" s="3" t="s">
        <v>2831</v>
      </c>
      <c r="C1274" s="3" t="s">
        <v>2832</v>
      </c>
      <c r="D1274" s="3" t="s">
        <v>2833</v>
      </c>
      <c r="E1274" s="3" t="s">
        <v>2834</v>
      </c>
      <c r="F1274" t="e">
        <f>_xlfn.XLOOKUP(A1274,[1]邦达数据库!$A:$A,[1]邦达数据库!$C:$C)</f>
        <v>#N/A</v>
      </c>
    </row>
    <row r="1275" ht="30" customHeight="1" spans="1:6">
      <c r="A1275" s="2" t="s">
        <v>2835</v>
      </c>
      <c r="B1275" s="3" t="s">
        <v>2836</v>
      </c>
      <c r="C1275" s="3" t="s">
        <v>2176</v>
      </c>
      <c r="D1275" s="3" t="s">
        <v>521</v>
      </c>
      <c r="E1275" s="3" t="s">
        <v>522</v>
      </c>
      <c r="F1275" t="e">
        <f>_xlfn.XLOOKUP(A1275,[1]邦达数据库!$A:$A,[1]邦达数据库!$C:$C)</f>
        <v>#N/A</v>
      </c>
    </row>
    <row r="1276" ht="30" customHeight="1" spans="1:6">
      <c r="A1276" s="4" t="s">
        <v>2837</v>
      </c>
      <c r="B1276" s="5" t="s">
        <v>2838</v>
      </c>
      <c r="C1276" s="5" t="s">
        <v>2246</v>
      </c>
      <c r="D1276" s="5" t="s">
        <v>1856</v>
      </c>
      <c r="E1276" s="5" t="s">
        <v>1857</v>
      </c>
      <c r="F1276" t="e">
        <f>_xlfn.XLOOKUP(A1276,[1]邦达数据库!$A:$A,[1]邦达数据库!$C:$C)</f>
        <v>#N/A</v>
      </c>
    </row>
    <row r="1277" ht="30" customHeight="1" spans="1:6">
      <c r="A1277" s="2" t="s">
        <v>2839</v>
      </c>
      <c r="B1277" s="3" t="s">
        <v>2840</v>
      </c>
      <c r="C1277" s="3" t="s">
        <v>1277</v>
      </c>
      <c r="D1277" s="3" t="s">
        <v>568</v>
      </c>
      <c r="E1277" s="3" t="s">
        <v>569</v>
      </c>
      <c r="F1277" t="e">
        <f>_xlfn.XLOOKUP(A1277,[1]邦达数据库!$A:$A,[1]邦达数据库!$C:$C)</f>
        <v>#N/A</v>
      </c>
    </row>
    <row r="1278" ht="30" customHeight="1" spans="1:6">
      <c r="A1278" s="4" t="s">
        <v>2841</v>
      </c>
      <c r="B1278" s="5" t="s">
        <v>2842</v>
      </c>
      <c r="C1278" s="5" t="s">
        <v>443</v>
      </c>
      <c r="D1278" s="5" t="s">
        <v>568</v>
      </c>
      <c r="E1278" s="5" t="s">
        <v>569</v>
      </c>
      <c r="F1278" t="e">
        <f>_xlfn.XLOOKUP(A1278,[1]邦达数据库!$A:$A,[1]邦达数据库!$C:$C)</f>
        <v>#N/A</v>
      </c>
    </row>
    <row r="1279" ht="30" customHeight="1" spans="1:6">
      <c r="A1279" s="2" t="s">
        <v>2843</v>
      </c>
      <c r="B1279" s="3" t="s">
        <v>2842</v>
      </c>
      <c r="C1279" s="3" t="s">
        <v>443</v>
      </c>
      <c r="D1279" s="3" t="s">
        <v>568</v>
      </c>
      <c r="E1279" s="3" t="s">
        <v>569</v>
      </c>
      <c r="F1279" t="e">
        <f>_xlfn.XLOOKUP(A1279,[1]邦达数据库!$A:$A,[1]邦达数据库!$C:$C)</f>
        <v>#N/A</v>
      </c>
    </row>
    <row r="1280" ht="30" customHeight="1" spans="1:6">
      <c r="A1280" s="4" t="s">
        <v>2844</v>
      </c>
      <c r="B1280" s="5" t="s">
        <v>2842</v>
      </c>
      <c r="C1280" s="5" t="s">
        <v>443</v>
      </c>
      <c r="D1280" s="5" t="s">
        <v>568</v>
      </c>
      <c r="E1280" s="5" t="s">
        <v>569</v>
      </c>
      <c r="F1280" t="e">
        <f>_xlfn.XLOOKUP(A1280,[1]邦达数据库!$A:$A,[1]邦达数据库!$C:$C)</f>
        <v>#N/A</v>
      </c>
    </row>
    <row r="1281" ht="30" customHeight="1" spans="1:6">
      <c r="A1281" s="2" t="s">
        <v>2845</v>
      </c>
      <c r="B1281" s="3" t="s">
        <v>2842</v>
      </c>
      <c r="C1281" s="3" t="s">
        <v>443</v>
      </c>
      <c r="D1281" s="3" t="s">
        <v>568</v>
      </c>
      <c r="E1281" s="3" t="s">
        <v>569</v>
      </c>
      <c r="F1281" t="e">
        <f>_xlfn.XLOOKUP(A1281,[1]邦达数据库!$A:$A,[1]邦达数据库!$C:$C)</f>
        <v>#N/A</v>
      </c>
    </row>
    <row r="1282" ht="30" customHeight="1" spans="1:6">
      <c r="A1282" s="4" t="s">
        <v>2846</v>
      </c>
      <c r="B1282" s="5" t="s">
        <v>2842</v>
      </c>
      <c r="C1282" s="5" t="s">
        <v>443</v>
      </c>
      <c r="D1282" s="5" t="s">
        <v>568</v>
      </c>
      <c r="E1282" s="5" t="s">
        <v>569</v>
      </c>
      <c r="F1282" t="e">
        <f>_xlfn.XLOOKUP(A1282,[1]邦达数据库!$A:$A,[1]邦达数据库!$C:$C)</f>
        <v>#N/A</v>
      </c>
    </row>
    <row r="1283" ht="30" customHeight="1" spans="1:6">
      <c r="A1283" s="2" t="s">
        <v>2847</v>
      </c>
      <c r="B1283" s="3" t="s">
        <v>2842</v>
      </c>
      <c r="C1283" s="3" t="s">
        <v>443</v>
      </c>
      <c r="D1283" s="3" t="s">
        <v>568</v>
      </c>
      <c r="E1283" s="3" t="s">
        <v>569</v>
      </c>
      <c r="F1283" t="e">
        <f>_xlfn.XLOOKUP(A1283,[1]邦达数据库!$A:$A,[1]邦达数据库!$C:$C)</f>
        <v>#N/A</v>
      </c>
    </row>
    <row r="1284" ht="30" customHeight="1" spans="1:6">
      <c r="A1284" s="4" t="s">
        <v>2848</v>
      </c>
      <c r="B1284" s="5" t="s">
        <v>2849</v>
      </c>
      <c r="C1284" s="5" t="s">
        <v>1027</v>
      </c>
      <c r="D1284" s="5" t="s">
        <v>421</v>
      </c>
      <c r="E1284" s="5" t="s">
        <v>422</v>
      </c>
      <c r="F1284" t="e">
        <f>_xlfn.XLOOKUP(A1284,[1]邦达数据库!$A:$A,[1]邦达数据库!$C:$C)</f>
        <v>#N/A</v>
      </c>
    </row>
    <row r="1285" ht="30" customHeight="1" spans="1:6">
      <c r="A1285" s="2" t="s">
        <v>2850</v>
      </c>
      <c r="B1285" s="3" t="s">
        <v>2851</v>
      </c>
      <c r="C1285" s="3" t="s">
        <v>2236</v>
      </c>
      <c r="D1285" s="3" t="s">
        <v>804</v>
      </c>
      <c r="E1285" s="3" t="s">
        <v>805</v>
      </c>
      <c r="F1285" t="e">
        <f>_xlfn.XLOOKUP(A1285,[1]邦达数据库!$A:$A,[1]邦达数据库!$C:$C)</f>
        <v>#N/A</v>
      </c>
    </row>
    <row r="1286" ht="30" customHeight="1" spans="1:6">
      <c r="A1286" s="2" t="s">
        <v>2852</v>
      </c>
      <c r="B1286" s="3" t="s">
        <v>2853</v>
      </c>
      <c r="C1286" s="3" t="s">
        <v>1014</v>
      </c>
      <c r="D1286" s="3" t="s">
        <v>276</v>
      </c>
      <c r="E1286" s="3" t="s">
        <v>277</v>
      </c>
      <c r="F1286" t="e">
        <f>_xlfn.XLOOKUP(A1286,[1]邦达数据库!$A:$A,[1]邦达数据库!$C:$C)</f>
        <v>#N/A</v>
      </c>
    </row>
    <row r="1287" ht="30" customHeight="1" spans="1:6">
      <c r="A1287" s="4" t="s">
        <v>2854</v>
      </c>
      <c r="B1287" s="5" t="s">
        <v>2853</v>
      </c>
      <c r="C1287" s="5" t="s">
        <v>1014</v>
      </c>
      <c r="D1287" s="5" t="s">
        <v>1273</v>
      </c>
      <c r="E1287" s="5" t="s">
        <v>1274</v>
      </c>
      <c r="F1287" t="e">
        <f>_xlfn.XLOOKUP(A1287,[1]邦达数据库!$A:$A,[1]邦达数据库!$C:$C)</f>
        <v>#N/A</v>
      </c>
    </row>
    <row r="1288" ht="30" customHeight="1" spans="1:6">
      <c r="A1288" s="2" t="s">
        <v>2855</v>
      </c>
      <c r="B1288" s="3" t="s">
        <v>2853</v>
      </c>
      <c r="C1288" s="3" t="s">
        <v>1014</v>
      </c>
      <c r="D1288" s="3" t="s">
        <v>568</v>
      </c>
      <c r="E1288" s="3" t="s">
        <v>569</v>
      </c>
      <c r="F1288" t="e">
        <f>_xlfn.XLOOKUP(A1288,[1]邦达数据库!$A:$A,[1]邦达数据库!$C:$C)</f>
        <v>#N/A</v>
      </c>
    </row>
    <row r="1289" ht="30" customHeight="1" spans="1:6">
      <c r="A1289" s="4" t="s">
        <v>2856</v>
      </c>
      <c r="B1289" s="5" t="s">
        <v>2857</v>
      </c>
      <c r="C1289" s="5" t="s">
        <v>2389</v>
      </c>
      <c r="D1289" s="5" t="s">
        <v>2858</v>
      </c>
      <c r="E1289" s="5" t="s">
        <v>2859</v>
      </c>
      <c r="F1289" t="e">
        <f>_xlfn.XLOOKUP(A1289,[1]邦达数据库!$A:$A,[1]邦达数据库!$C:$C)</f>
        <v>#N/A</v>
      </c>
    </row>
    <row r="1290" ht="30" customHeight="1" spans="1:6">
      <c r="A1290" s="2" t="s">
        <v>2860</v>
      </c>
      <c r="B1290" s="3" t="s">
        <v>2861</v>
      </c>
      <c r="C1290" s="3" t="s">
        <v>17</v>
      </c>
      <c r="D1290" s="3" t="s">
        <v>2862</v>
      </c>
      <c r="E1290" s="3" t="s">
        <v>2863</v>
      </c>
      <c r="F1290" t="e">
        <f>_xlfn.XLOOKUP(A1290,[1]邦达数据库!$A:$A,[1]邦达数据库!$C:$C)</f>
        <v>#N/A</v>
      </c>
    </row>
    <row r="1291" ht="30" customHeight="1" spans="1:6">
      <c r="A1291" s="4" t="s">
        <v>2864</v>
      </c>
      <c r="B1291" s="5" t="s">
        <v>2861</v>
      </c>
      <c r="C1291" s="5" t="s">
        <v>17</v>
      </c>
      <c r="D1291" s="5" t="s">
        <v>2865</v>
      </c>
      <c r="E1291" s="5" t="s">
        <v>2866</v>
      </c>
      <c r="F1291" t="e">
        <f>_xlfn.XLOOKUP(A1291,[1]邦达数据库!$A:$A,[1]邦达数据库!$C:$C)</f>
        <v>#N/A</v>
      </c>
    </row>
    <row r="1292" ht="30" customHeight="1" spans="1:6">
      <c r="A1292" s="2" t="s">
        <v>2867</v>
      </c>
      <c r="B1292" s="3" t="s">
        <v>293</v>
      </c>
      <c r="C1292" s="3" t="s">
        <v>294</v>
      </c>
      <c r="D1292" s="3" t="s">
        <v>2868</v>
      </c>
      <c r="E1292" s="3" t="s">
        <v>2869</v>
      </c>
      <c r="F1292" t="e">
        <f>_xlfn.XLOOKUP(A1292,[1]邦达数据库!$A:$A,[1]邦达数据库!$C:$C)</f>
        <v>#N/A</v>
      </c>
    </row>
    <row r="1293" ht="30" customHeight="1" spans="1:6">
      <c r="A1293" s="4" t="s">
        <v>2870</v>
      </c>
      <c r="B1293" s="5" t="s">
        <v>2871</v>
      </c>
      <c r="C1293" s="5" t="s">
        <v>2872</v>
      </c>
      <c r="D1293" s="5" t="s">
        <v>2873</v>
      </c>
      <c r="E1293" s="5" t="s">
        <v>2874</v>
      </c>
      <c r="F1293" t="e">
        <f>_xlfn.XLOOKUP(A1293,[1]邦达数据库!$A:$A,[1]邦达数据库!$C:$C)</f>
        <v>#N/A</v>
      </c>
    </row>
    <row r="1294" ht="30" customHeight="1" spans="1:6">
      <c r="A1294" s="2" t="s">
        <v>2875</v>
      </c>
      <c r="B1294" s="3" t="s">
        <v>2876</v>
      </c>
      <c r="C1294" s="3" t="s">
        <v>1810</v>
      </c>
      <c r="D1294" s="3" t="s">
        <v>64</v>
      </c>
      <c r="E1294" s="3" t="s">
        <v>65</v>
      </c>
      <c r="F1294" t="e">
        <f>_xlfn.XLOOKUP(A1294,[1]邦达数据库!$A:$A,[1]邦达数据库!$C:$C)</f>
        <v>#N/A</v>
      </c>
    </row>
    <row r="1295" ht="30" customHeight="1" spans="1:6">
      <c r="A1295" s="4" t="s">
        <v>2877</v>
      </c>
      <c r="B1295" s="5" t="s">
        <v>2876</v>
      </c>
      <c r="C1295" s="5" t="s">
        <v>1810</v>
      </c>
      <c r="D1295" s="5" t="s">
        <v>64</v>
      </c>
      <c r="E1295" s="5" t="s">
        <v>65</v>
      </c>
      <c r="F1295" t="e">
        <f>_xlfn.XLOOKUP(A1295,[1]邦达数据库!$A:$A,[1]邦达数据库!$C:$C)</f>
        <v>#N/A</v>
      </c>
    </row>
    <row r="1296" ht="30" customHeight="1" spans="1:6">
      <c r="A1296" s="2" t="s">
        <v>2878</v>
      </c>
      <c r="B1296" s="3" t="s">
        <v>2879</v>
      </c>
      <c r="C1296" s="3" t="s">
        <v>836</v>
      </c>
      <c r="D1296" s="3" t="s">
        <v>140</v>
      </c>
      <c r="E1296" s="3" t="s">
        <v>141</v>
      </c>
      <c r="F1296" t="e">
        <f>_xlfn.XLOOKUP(A1296,[1]邦达数据库!$A:$A,[1]邦达数据库!$C:$C)</f>
        <v>#N/A</v>
      </c>
    </row>
    <row r="1297" ht="30" customHeight="1" spans="1:6">
      <c r="A1297" s="4" t="s">
        <v>2880</v>
      </c>
      <c r="B1297" s="5" t="s">
        <v>2879</v>
      </c>
      <c r="C1297" s="5" t="s">
        <v>836</v>
      </c>
      <c r="D1297" s="5" t="s">
        <v>1000</v>
      </c>
      <c r="E1297" s="5" t="s">
        <v>1001</v>
      </c>
      <c r="F1297" t="e">
        <f>_xlfn.XLOOKUP(A1297,[1]邦达数据库!$A:$A,[1]邦达数据库!$C:$C)</f>
        <v>#N/A</v>
      </c>
    </row>
    <row r="1298" ht="30" customHeight="1" spans="1:6">
      <c r="A1298" s="2" t="s">
        <v>2881</v>
      </c>
      <c r="B1298" s="3" t="s">
        <v>2879</v>
      </c>
      <c r="C1298" s="3" t="s">
        <v>836</v>
      </c>
      <c r="D1298" s="3" t="s">
        <v>436</v>
      </c>
      <c r="E1298" s="3" t="s">
        <v>437</v>
      </c>
      <c r="F1298" t="e">
        <f>_xlfn.XLOOKUP(A1298,[1]邦达数据库!$A:$A,[1]邦达数据库!$C:$C)</f>
        <v>#N/A</v>
      </c>
    </row>
    <row r="1299" ht="30" customHeight="1" spans="1:6">
      <c r="A1299" s="4" t="s">
        <v>2882</v>
      </c>
      <c r="B1299" s="5" t="s">
        <v>2879</v>
      </c>
      <c r="C1299" s="5" t="s">
        <v>836</v>
      </c>
      <c r="D1299" s="5" t="s">
        <v>436</v>
      </c>
      <c r="E1299" s="5" t="s">
        <v>437</v>
      </c>
      <c r="F1299" t="e">
        <f>_xlfn.XLOOKUP(A1299,[1]邦达数据库!$A:$A,[1]邦达数据库!$C:$C)</f>
        <v>#N/A</v>
      </c>
    </row>
    <row r="1300" ht="30" customHeight="1" spans="1:6">
      <c r="A1300" s="2" t="s">
        <v>2883</v>
      </c>
      <c r="B1300" s="3" t="s">
        <v>2884</v>
      </c>
      <c r="C1300" s="3" t="s">
        <v>2190</v>
      </c>
      <c r="D1300" s="3" t="s">
        <v>2885</v>
      </c>
      <c r="E1300" s="3" t="s">
        <v>2886</v>
      </c>
      <c r="F1300" t="e">
        <f>_xlfn.XLOOKUP(A1300,[1]邦达数据库!$A:$A,[1]邦达数据库!$C:$C)</f>
        <v>#N/A</v>
      </c>
    </row>
    <row r="1301" ht="30" customHeight="1" spans="1:6">
      <c r="A1301" s="4" t="s">
        <v>2887</v>
      </c>
      <c r="B1301" s="5" t="s">
        <v>2888</v>
      </c>
      <c r="C1301" s="5" t="s">
        <v>1467</v>
      </c>
      <c r="D1301" s="5" t="s">
        <v>9</v>
      </c>
      <c r="E1301" s="5" t="s">
        <v>10</v>
      </c>
      <c r="F1301" t="e">
        <f>_xlfn.XLOOKUP(A1301,[1]邦达数据库!$A:$A,[1]邦达数据库!$C:$C)</f>
        <v>#N/A</v>
      </c>
    </row>
    <row r="1302" ht="30" customHeight="1" spans="1:6">
      <c r="A1302" s="2" t="s">
        <v>2889</v>
      </c>
      <c r="B1302" s="3" t="s">
        <v>1114</v>
      </c>
      <c r="C1302" s="3" t="s">
        <v>1115</v>
      </c>
      <c r="D1302" s="3" t="s">
        <v>2890</v>
      </c>
      <c r="E1302" s="3" t="s">
        <v>2891</v>
      </c>
      <c r="F1302" t="e">
        <f>_xlfn.XLOOKUP(A1302,[1]邦达数据库!$A:$A,[1]邦达数据库!$C:$C)</f>
        <v>#N/A</v>
      </c>
    </row>
    <row r="1303" ht="30" customHeight="1" spans="1:6">
      <c r="A1303" s="4" t="s">
        <v>2892</v>
      </c>
      <c r="B1303" s="5" t="s">
        <v>1114</v>
      </c>
      <c r="C1303" s="5" t="s">
        <v>1115</v>
      </c>
      <c r="D1303" s="5" t="s">
        <v>314</v>
      </c>
      <c r="E1303" s="5" t="s">
        <v>315</v>
      </c>
      <c r="F1303" t="e">
        <f>_xlfn.XLOOKUP(A1303,[1]邦达数据库!$A:$A,[1]邦达数据库!$C:$C)</f>
        <v>#N/A</v>
      </c>
    </row>
    <row r="1304" ht="30" customHeight="1" spans="1:6">
      <c r="A1304" s="2" t="s">
        <v>2893</v>
      </c>
      <c r="B1304" s="3" t="s">
        <v>1114</v>
      </c>
      <c r="C1304" s="3" t="s">
        <v>1115</v>
      </c>
      <c r="D1304" s="3" t="s">
        <v>314</v>
      </c>
      <c r="E1304" s="3" t="s">
        <v>315</v>
      </c>
      <c r="F1304" t="e">
        <f>_xlfn.XLOOKUP(A1304,[1]邦达数据库!$A:$A,[1]邦达数据库!$C:$C)</f>
        <v>#N/A</v>
      </c>
    </row>
    <row r="1305" ht="30" customHeight="1" spans="1:6">
      <c r="A1305" s="4" t="s">
        <v>2894</v>
      </c>
      <c r="B1305" s="5" t="s">
        <v>1114</v>
      </c>
      <c r="C1305" s="5" t="s">
        <v>1115</v>
      </c>
      <c r="D1305" s="5" t="s">
        <v>2895</v>
      </c>
      <c r="E1305" s="5" t="s">
        <v>2896</v>
      </c>
      <c r="F1305" t="e">
        <f>_xlfn.XLOOKUP(A1305,[1]邦达数据库!$A:$A,[1]邦达数据库!$C:$C)</f>
        <v>#N/A</v>
      </c>
    </row>
    <row r="1306" ht="30" customHeight="1" spans="1:6">
      <c r="A1306" s="2" t="s">
        <v>2897</v>
      </c>
      <c r="B1306" s="3" t="s">
        <v>1114</v>
      </c>
      <c r="C1306" s="3" t="s">
        <v>1115</v>
      </c>
      <c r="D1306" s="3" t="s">
        <v>2890</v>
      </c>
      <c r="E1306" s="3" t="s">
        <v>2891</v>
      </c>
      <c r="F1306" t="e">
        <f>_xlfn.XLOOKUP(A1306,[1]邦达数据库!$A:$A,[1]邦达数据库!$C:$C)</f>
        <v>#N/A</v>
      </c>
    </row>
    <row r="1307" ht="30" customHeight="1" spans="1:6">
      <c r="A1307" s="4" t="s">
        <v>2898</v>
      </c>
      <c r="B1307" s="5" t="s">
        <v>1114</v>
      </c>
      <c r="C1307" s="5" t="s">
        <v>1115</v>
      </c>
      <c r="D1307" s="5" t="s">
        <v>314</v>
      </c>
      <c r="E1307" s="5" t="s">
        <v>315</v>
      </c>
      <c r="F1307" t="e">
        <f>_xlfn.XLOOKUP(A1307,[1]邦达数据库!$A:$A,[1]邦达数据库!$C:$C)</f>
        <v>#N/A</v>
      </c>
    </row>
    <row r="1308" ht="30" customHeight="1" spans="1:6">
      <c r="A1308" s="2" t="s">
        <v>2899</v>
      </c>
      <c r="B1308" s="3" t="s">
        <v>2900</v>
      </c>
      <c r="C1308" s="3" t="s">
        <v>412</v>
      </c>
      <c r="D1308" s="3" t="s">
        <v>1356</v>
      </c>
      <c r="E1308" s="3" t="s">
        <v>1357</v>
      </c>
      <c r="F1308" t="e">
        <f>_xlfn.XLOOKUP(A1308,[1]邦达数据库!$A:$A,[1]邦达数据库!$C:$C)</f>
        <v>#N/A</v>
      </c>
    </row>
    <row r="1309" ht="30" customHeight="1" spans="1:6">
      <c r="A1309" s="4" t="s">
        <v>2901</v>
      </c>
      <c r="B1309" s="5" t="s">
        <v>2900</v>
      </c>
      <c r="C1309" s="5" t="s">
        <v>412</v>
      </c>
      <c r="D1309" s="5" t="s">
        <v>2210</v>
      </c>
      <c r="E1309" s="5" t="s">
        <v>2211</v>
      </c>
      <c r="F1309" t="e">
        <f>_xlfn.XLOOKUP(A1309,[1]邦达数据库!$A:$A,[1]邦达数据库!$C:$C)</f>
        <v>#N/A</v>
      </c>
    </row>
    <row r="1310" ht="30" customHeight="1" spans="1:6">
      <c r="A1310" s="2" t="s">
        <v>2902</v>
      </c>
      <c r="B1310" s="3" t="s">
        <v>2900</v>
      </c>
      <c r="C1310" s="3" t="s">
        <v>412</v>
      </c>
      <c r="D1310" s="3" t="s">
        <v>2210</v>
      </c>
      <c r="E1310" s="3" t="s">
        <v>2211</v>
      </c>
      <c r="F1310" t="e">
        <f>_xlfn.XLOOKUP(A1310,[1]邦达数据库!$A:$A,[1]邦达数据库!$C:$C)</f>
        <v>#N/A</v>
      </c>
    </row>
    <row r="1311" ht="30" customHeight="1" spans="1:6">
      <c r="A1311" s="4" t="s">
        <v>2903</v>
      </c>
      <c r="B1311" s="5" t="s">
        <v>1008</v>
      </c>
      <c r="C1311" s="5" t="s">
        <v>819</v>
      </c>
      <c r="D1311" s="5" t="s">
        <v>223</v>
      </c>
      <c r="E1311" s="5" t="s">
        <v>224</v>
      </c>
      <c r="F1311" t="e">
        <f>_xlfn.XLOOKUP(A1311,[1]邦达数据库!$A:$A,[1]邦达数据库!$C:$C)</f>
        <v>#N/A</v>
      </c>
    </row>
    <row r="1312" ht="30" customHeight="1" spans="1:6">
      <c r="A1312" s="2" t="s">
        <v>2904</v>
      </c>
      <c r="B1312" s="3" t="s">
        <v>190</v>
      </c>
      <c r="C1312" s="3" t="s">
        <v>88</v>
      </c>
      <c r="D1312" s="3" t="s">
        <v>2905</v>
      </c>
      <c r="E1312" s="3" t="s">
        <v>2906</v>
      </c>
      <c r="F1312" t="e">
        <f>_xlfn.XLOOKUP(A1312,[1]邦达数据库!$A:$A,[1]邦达数据库!$C:$C)</f>
        <v>#N/A</v>
      </c>
    </row>
    <row r="1313" ht="30" customHeight="1" spans="1:6">
      <c r="A1313" s="4" t="s">
        <v>2907</v>
      </c>
      <c r="B1313" s="5" t="s">
        <v>190</v>
      </c>
      <c r="C1313" s="5" t="s">
        <v>88</v>
      </c>
      <c r="D1313" s="5" t="s">
        <v>680</v>
      </c>
      <c r="E1313" s="5" t="s">
        <v>681</v>
      </c>
      <c r="F1313" t="e">
        <f>_xlfn.XLOOKUP(A1313,[1]邦达数据库!$A:$A,[1]邦达数据库!$C:$C)</f>
        <v>#N/A</v>
      </c>
    </row>
    <row r="1314" ht="30" customHeight="1" spans="1:6">
      <c r="A1314" s="2" t="s">
        <v>2908</v>
      </c>
      <c r="B1314" s="3" t="s">
        <v>190</v>
      </c>
      <c r="C1314" s="3" t="s">
        <v>88</v>
      </c>
      <c r="D1314" s="3" t="s">
        <v>900</v>
      </c>
      <c r="E1314" s="3" t="s">
        <v>901</v>
      </c>
      <c r="F1314" t="e">
        <f>_xlfn.XLOOKUP(A1314,[1]邦达数据库!$A:$A,[1]邦达数据库!$C:$C)</f>
        <v>#N/A</v>
      </c>
    </row>
    <row r="1315" ht="30" customHeight="1" spans="1:6">
      <c r="A1315" s="4" t="s">
        <v>2909</v>
      </c>
      <c r="B1315" s="5" t="s">
        <v>2910</v>
      </c>
      <c r="C1315" s="5" t="s">
        <v>2911</v>
      </c>
      <c r="D1315" s="5" t="s">
        <v>2912</v>
      </c>
      <c r="E1315" s="5" t="s">
        <v>2913</v>
      </c>
      <c r="F1315" t="e">
        <f>_xlfn.XLOOKUP(A1315,[1]邦达数据库!$A:$A,[1]邦达数据库!$C:$C)</f>
        <v>#N/A</v>
      </c>
    </row>
    <row r="1316" ht="30" customHeight="1" spans="1:6">
      <c r="A1316" s="2" t="s">
        <v>2914</v>
      </c>
      <c r="B1316" s="3" t="s">
        <v>2915</v>
      </c>
      <c r="C1316" s="3" t="s">
        <v>2916</v>
      </c>
      <c r="D1316" s="3" t="s">
        <v>1116</v>
      </c>
      <c r="E1316" s="3" t="s">
        <v>1117</v>
      </c>
      <c r="F1316" t="e">
        <f>_xlfn.XLOOKUP(A1316,[1]邦达数据库!$A:$A,[1]邦达数据库!$C:$C)</f>
        <v>#N/A</v>
      </c>
    </row>
    <row r="1317" ht="30" customHeight="1" spans="1:6">
      <c r="A1317" s="2" t="s">
        <v>2917</v>
      </c>
      <c r="B1317" s="3" t="s">
        <v>2918</v>
      </c>
      <c r="C1317" s="3" t="s">
        <v>2911</v>
      </c>
      <c r="D1317" s="3" t="s">
        <v>2919</v>
      </c>
      <c r="E1317" s="3" t="s">
        <v>2920</v>
      </c>
      <c r="F1317" t="e">
        <f>_xlfn.XLOOKUP(A1317,[1]邦达数据库!$A:$A,[1]邦达数据库!$C:$C)</f>
        <v>#N/A</v>
      </c>
    </row>
    <row r="1318" ht="30" customHeight="1" spans="1:6">
      <c r="A1318" s="2" t="s">
        <v>2921</v>
      </c>
      <c r="B1318" s="3" t="s">
        <v>2922</v>
      </c>
      <c r="C1318" s="3" t="s">
        <v>1108</v>
      </c>
      <c r="D1318" s="3" t="s">
        <v>2923</v>
      </c>
      <c r="E1318" s="3" t="s">
        <v>2924</v>
      </c>
      <c r="F1318" t="e">
        <f>_xlfn.XLOOKUP(A1318,[1]邦达数据库!$A:$A,[1]邦达数据库!$C:$C)</f>
        <v>#N/A</v>
      </c>
    </row>
    <row r="1319" ht="30" customHeight="1" spans="1:6">
      <c r="A1319" s="4" t="s">
        <v>2925</v>
      </c>
      <c r="B1319" s="5" t="s">
        <v>2926</v>
      </c>
      <c r="C1319" s="5" t="s">
        <v>1108</v>
      </c>
      <c r="D1319" s="5" t="s">
        <v>1201</v>
      </c>
      <c r="E1319" s="5" t="s">
        <v>1202</v>
      </c>
      <c r="F1319" t="e">
        <f>_xlfn.XLOOKUP(A1319,[1]邦达数据库!$A:$A,[1]邦达数据库!$C:$C)</f>
        <v>#N/A</v>
      </c>
    </row>
    <row r="1320" ht="30" customHeight="1" spans="1:6">
      <c r="A1320" s="2" t="s">
        <v>2927</v>
      </c>
      <c r="B1320" s="3" t="s">
        <v>2922</v>
      </c>
      <c r="C1320" s="3" t="s">
        <v>1108</v>
      </c>
      <c r="D1320" s="3" t="s">
        <v>2928</v>
      </c>
      <c r="E1320" s="3" t="s">
        <v>2929</v>
      </c>
      <c r="F1320" t="e">
        <f>_xlfn.XLOOKUP(A1320,[1]邦达数据库!$A:$A,[1]邦达数据库!$C:$C)</f>
        <v>#N/A</v>
      </c>
    </row>
    <row r="1321" ht="30" customHeight="1" spans="1:6">
      <c r="A1321" s="4" t="s">
        <v>2930</v>
      </c>
      <c r="B1321" s="5" t="s">
        <v>2926</v>
      </c>
      <c r="C1321" s="5" t="s">
        <v>1108</v>
      </c>
      <c r="D1321" s="5" t="s">
        <v>79</v>
      </c>
      <c r="E1321" s="5" t="s">
        <v>80</v>
      </c>
      <c r="F1321" t="e">
        <f>_xlfn.XLOOKUP(A1321,[1]邦达数据库!$A:$A,[1]邦达数据库!$C:$C)</f>
        <v>#N/A</v>
      </c>
    </row>
    <row r="1322" ht="30" customHeight="1" spans="1:6">
      <c r="A1322" s="4" t="s">
        <v>2931</v>
      </c>
      <c r="B1322" s="5" t="s">
        <v>1949</v>
      </c>
      <c r="C1322" s="5" t="s">
        <v>1950</v>
      </c>
      <c r="D1322" s="5" t="s">
        <v>1201</v>
      </c>
      <c r="E1322" s="5" t="s">
        <v>1202</v>
      </c>
      <c r="F1322" t="e">
        <f>_xlfn.XLOOKUP(A1322,[1]邦达数据库!$A:$A,[1]邦达数据库!$C:$C)</f>
        <v>#N/A</v>
      </c>
    </row>
    <row r="1323" ht="30" customHeight="1" spans="1:6">
      <c r="A1323" s="2" t="s">
        <v>2932</v>
      </c>
      <c r="B1323" s="3" t="s">
        <v>1949</v>
      </c>
      <c r="C1323" s="3" t="s">
        <v>1950</v>
      </c>
      <c r="D1323" s="3" t="s">
        <v>1201</v>
      </c>
      <c r="E1323" s="3" t="s">
        <v>1202</v>
      </c>
      <c r="F1323" t="e">
        <f>_xlfn.XLOOKUP(A1323,[1]邦达数据库!$A:$A,[1]邦达数据库!$C:$C)</f>
        <v>#N/A</v>
      </c>
    </row>
    <row r="1324" ht="30" customHeight="1" spans="1:6">
      <c r="A1324" s="4" t="s">
        <v>2933</v>
      </c>
      <c r="B1324" s="5" t="s">
        <v>2934</v>
      </c>
      <c r="C1324" s="5" t="s">
        <v>1167</v>
      </c>
      <c r="D1324" s="5" t="s">
        <v>963</v>
      </c>
      <c r="E1324" s="5" t="s">
        <v>964</v>
      </c>
      <c r="F1324" t="e">
        <f>_xlfn.XLOOKUP(A1324,[1]邦达数据库!$A:$A,[1]邦达数据库!$C:$C)</f>
        <v>#N/A</v>
      </c>
    </row>
    <row r="1325" ht="30" customHeight="1" spans="1:6">
      <c r="A1325" s="2" t="s">
        <v>2935</v>
      </c>
      <c r="B1325" s="3" t="s">
        <v>2936</v>
      </c>
      <c r="C1325" s="3" t="s">
        <v>2937</v>
      </c>
      <c r="D1325" s="3" t="s">
        <v>2938</v>
      </c>
      <c r="E1325" s="3" t="s">
        <v>2939</v>
      </c>
      <c r="F1325" t="e">
        <f>_xlfn.XLOOKUP(A1325,[1]邦达数据库!$A:$A,[1]邦达数据库!$C:$C)</f>
        <v>#N/A</v>
      </c>
    </row>
    <row r="1326" ht="30" customHeight="1" spans="1:6">
      <c r="A1326" s="4" t="s">
        <v>2940</v>
      </c>
      <c r="B1326" s="5" t="s">
        <v>2936</v>
      </c>
      <c r="C1326" s="5" t="s">
        <v>2937</v>
      </c>
      <c r="D1326" s="5" t="s">
        <v>2938</v>
      </c>
      <c r="E1326" s="5" t="s">
        <v>2939</v>
      </c>
      <c r="F1326" t="e">
        <f>_xlfn.XLOOKUP(A1326,[1]邦达数据库!$A:$A,[1]邦达数据库!$C:$C)</f>
        <v>#N/A</v>
      </c>
    </row>
    <row r="1327" ht="30" customHeight="1" spans="1:6">
      <c r="A1327" s="2" t="s">
        <v>2941</v>
      </c>
      <c r="B1327" s="3" t="s">
        <v>2936</v>
      </c>
      <c r="C1327" s="3" t="s">
        <v>2937</v>
      </c>
      <c r="D1327" s="3" t="s">
        <v>2938</v>
      </c>
      <c r="E1327" s="3" t="s">
        <v>2939</v>
      </c>
      <c r="F1327" t="e">
        <f>_xlfn.XLOOKUP(A1327,[1]邦达数据库!$A:$A,[1]邦达数据库!$C:$C)</f>
        <v>#N/A</v>
      </c>
    </row>
    <row r="1328" ht="30" customHeight="1" spans="1:6">
      <c r="A1328" s="4" t="s">
        <v>2942</v>
      </c>
      <c r="B1328" s="5" t="s">
        <v>2936</v>
      </c>
      <c r="C1328" s="5" t="s">
        <v>2937</v>
      </c>
      <c r="D1328" s="5" t="s">
        <v>2943</v>
      </c>
      <c r="E1328" s="5" t="s">
        <v>2944</v>
      </c>
      <c r="F1328" t="e">
        <f>_xlfn.XLOOKUP(A1328,[1]邦达数据库!$A:$A,[1]邦达数据库!$C:$C)</f>
        <v>#N/A</v>
      </c>
    </row>
    <row r="1329" ht="30" customHeight="1" spans="1:6">
      <c r="A1329" s="2" t="s">
        <v>2945</v>
      </c>
      <c r="B1329" s="3" t="s">
        <v>2936</v>
      </c>
      <c r="C1329" s="3" t="s">
        <v>2937</v>
      </c>
      <c r="D1329" s="3" t="s">
        <v>2938</v>
      </c>
      <c r="E1329" s="3" t="s">
        <v>2939</v>
      </c>
      <c r="F1329" t="e">
        <f>_xlfn.XLOOKUP(A1329,[1]邦达数据库!$A:$A,[1]邦达数据库!$C:$C)</f>
        <v>#N/A</v>
      </c>
    </row>
    <row r="1330" ht="30" customHeight="1" spans="1:6">
      <c r="A1330" s="4" t="s">
        <v>2946</v>
      </c>
      <c r="B1330" s="5" t="s">
        <v>734</v>
      </c>
      <c r="C1330" s="5" t="s">
        <v>265</v>
      </c>
      <c r="D1330" s="5" t="s">
        <v>301</v>
      </c>
      <c r="E1330" s="5" t="s">
        <v>302</v>
      </c>
      <c r="F1330" t="e">
        <f>_xlfn.XLOOKUP(A1330,[1]邦达数据库!$A:$A,[1]邦达数据库!$C:$C)</f>
        <v>#N/A</v>
      </c>
    </row>
    <row r="1331" ht="30" customHeight="1" spans="1:6">
      <c r="A1331" s="2" t="s">
        <v>2947</v>
      </c>
      <c r="B1331" s="3" t="s">
        <v>734</v>
      </c>
      <c r="C1331" s="3" t="s">
        <v>265</v>
      </c>
      <c r="D1331" s="3" t="s">
        <v>79</v>
      </c>
      <c r="E1331" s="3" t="s">
        <v>80</v>
      </c>
      <c r="F1331" t="e">
        <f>_xlfn.XLOOKUP(A1331,[1]邦达数据库!$A:$A,[1]邦达数据库!$C:$C)</f>
        <v>#N/A</v>
      </c>
    </row>
    <row r="1332" ht="30" customHeight="1" spans="1:6">
      <c r="A1332" s="4" t="s">
        <v>2948</v>
      </c>
      <c r="B1332" s="5" t="s">
        <v>715</v>
      </c>
      <c r="C1332" s="5" t="s">
        <v>716</v>
      </c>
      <c r="D1332" s="5" t="s">
        <v>127</v>
      </c>
      <c r="E1332" s="5" t="s">
        <v>128</v>
      </c>
      <c r="F1332" t="e">
        <f>_xlfn.XLOOKUP(A1332,[1]邦达数据库!$A:$A,[1]邦达数据库!$C:$C)</f>
        <v>#N/A</v>
      </c>
    </row>
    <row r="1333" ht="30" customHeight="1" spans="1:6">
      <c r="A1333" s="2" t="s">
        <v>2949</v>
      </c>
      <c r="B1333" s="3" t="s">
        <v>2950</v>
      </c>
      <c r="C1333" s="3" t="s">
        <v>836</v>
      </c>
      <c r="D1333" s="3" t="s">
        <v>2951</v>
      </c>
      <c r="E1333" s="3" t="s">
        <v>2952</v>
      </c>
      <c r="F1333" t="e">
        <f>_xlfn.XLOOKUP(A1333,[1]邦达数据库!$A:$A,[1]邦达数据库!$C:$C)</f>
        <v>#N/A</v>
      </c>
    </row>
    <row r="1334" ht="30" customHeight="1" spans="1:6">
      <c r="A1334" s="4" t="s">
        <v>2953</v>
      </c>
      <c r="B1334" s="5" t="s">
        <v>2950</v>
      </c>
      <c r="C1334" s="5" t="s">
        <v>836</v>
      </c>
      <c r="D1334" s="5" t="s">
        <v>1890</v>
      </c>
      <c r="E1334" s="5" t="s">
        <v>1891</v>
      </c>
      <c r="F1334" t="e">
        <f>_xlfn.XLOOKUP(A1334,[1]邦达数据库!$A:$A,[1]邦达数据库!$C:$C)</f>
        <v>#N/A</v>
      </c>
    </row>
    <row r="1335" ht="30" customHeight="1" spans="1:6">
      <c r="A1335" s="2" t="s">
        <v>2954</v>
      </c>
      <c r="B1335" s="3" t="s">
        <v>2950</v>
      </c>
      <c r="C1335" s="3" t="s">
        <v>836</v>
      </c>
      <c r="D1335" s="3" t="s">
        <v>2955</v>
      </c>
      <c r="E1335" s="3" t="s">
        <v>2956</v>
      </c>
      <c r="F1335" t="e">
        <f>_xlfn.XLOOKUP(A1335,[1]邦达数据库!$A:$A,[1]邦达数据库!$C:$C)</f>
        <v>#N/A</v>
      </c>
    </row>
    <row r="1336" ht="30" customHeight="1" spans="1:6">
      <c r="A1336" s="4" t="s">
        <v>2957</v>
      </c>
      <c r="B1336" s="5" t="s">
        <v>2950</v>
      </c>
      <c r="C1336" s="5" t="s">
        <v>836</v>
      </c>
      <c r="D1336" s="5" t="s">
        <v>1890</v>
      </c>
      <c r="E1336" s="5" t="s">
        <v>1891</v>
      </c>
      <c r="F1336" t="e">
        <f>_xlfn.XLOOKUP(A1336,[1]邦达数据库!$A:$A,[1]邦达数据库!$C:$C)</f>
        <v>#N/A</v>
      </c>
    </row>
    <row r="1337" ht="30" customHeight="1" spans="1:6">
      <c r="A1337" s="2" t="s">
        <v>2958</v>
      </c>
      <c r="B1337" s="3" t="s">
        <v>2950</v>
      </c>
      <c r="C1337" s="3" t="s">
        <v>836</v>
      </c>
      <c r="D1337" s="3" t="s">
        <v>1201</v>
      </c>
      <c r="E1337" s="3" t="s">
        <v>1202</v>
      </c>
      <c r="F1337" t="e">
        <f>_xlfn.XLOOKUP(A1337,[1]邦达数据库!$A:$A,[1]邦达数据库!$C:$C)</f>
        <v>#N/A</v>
      </c>
    </row>
    <row r="1338" ht="30" customHeight="1" spans="1:6">
      <c r="A1338" s="4" t="s">
        <v>2959</v>
      </c>
      <c r="B1338" s="5" t="s">
        <v>2950</v>
      </c>
      <c r="C1338" s="5" t="s">
        <v>836</v>
      </c>
      <c r="D1338" s="5" t="s">
        <v>1890</v>
      </c>
      <c r="E1338" s="5" t="s">
        <v>1891</v>
      </c>
      <c r="F1338" t="e">
        <f>_xlfn.XLOOKUP(A1338,[1]邦达数据库!$A:$A,[1]邦达数据库!$C:$C)</f>
        <v>#N/A</v>
      </c>
    </row>
    <row r="1339" ht="30" customHeight="1" spans="1:6">
      <c r="A1339" s="2" t="s">
        <v>2960</v>
      </c>
      <c r="B1339" s="3" t="s">
        <v>2961</v>
      </c>
      <c r="C1339" s="3" t="s">
        <v>2962</v>
      </c>
      <c r="D1339" s="3" t="s">
        <v>2963</v>
      </c>
      <c r="E1339" s="3" t="s">
        <v>2964</v>
      </c>
      <c r="F1339" t="e">
        <f>_xlfn.XLOOKUP(A1339,[1]邦达数据库!$A:$A,[1]邦达数据库!$C:$C)</f>
        <v>#N/A</v>
      </c>
    </row>
    <row r="1340" ht="30" customHeight="1" spans="1:6">
      <c r="A1340" s="4" t="s">
        <v>2965</v>
      </c>
      <c r="B1340" s="5" t="s">
        <v>2966</v>
      </c>
      <c r="C1340" s="5" t="s">
        <v>1027</v>
      </c>
      <c r="D1340" s="5" t="s">
        <v>256</v>
      </c>
      <c r="E1340" s="5" t="s">
        <v>257</v>
      </c>
      <c r="F1340" t="e">
        <f>_xlfn.XLOOKUP(A1340,[1]邦达数据库!$A:$A,[1]邦达数据库!$C:$C)</f>
        <v>#N/A</v>
      </c>
    </row>
    <row r="1341" ht="30" customHeight="1" spans="1:6">
      <c r="A1341" s="2" t="s">
        <v>2967</v>
      </c>
      <c r="B1341" s="3" t="s">
        <v>2769</v>
      </c>
      <c r="C1341" s="3" t="s">
        <v>335</v>
      </c>
      <c r="D1341" s="3" t="s">
        <v>524</v>
      </c>
      <c r="E1341" s="3" t="s">
        <v>525</v>
      </c>
      <c r="F1341" t="e">
        <f>_xlfn.XLOOKUP(A1341,[1]邦达数据库!$A:$A,[1]邦达数据库!$C:$C)</f>
        <v>#N/A</v>
      </c>
    </row>
    <row r="1342" ht="30" customHeight="1" spans="1:6">
      <c r="A1342" s="4" t="s">
        <v>2968</v>
      </c>
      <c r="B1342" s="5" t="s">
        <v>2969</v>
      </c>
      <c r="C1342" s="5" t="s">
        <v>2970</v>
      </c>
      <c r="D1342" s="5" t="s">
        <v>2253</v>
      </c>
      <c r="E1342" s="5" t="s">
        <v>2254</v>
      </c>
      <c r="F1342" t="e">
        <f>_xlfn.XLOOKUP(A1342,[1]邦达数据库!$A:$A,[1]邦达数据库!$C:$C)</f>
        <v>#N/A</v>
      </c>
    </row>
    <row r="1343" ht="30" customHeight="1" spans="1:6">
      <c r="A1343" s="2" t="s">
        <v>2971</v>
      </c>
      <c r="B1343" s="3" t="s">
        <v>2969</v>
      </c>
      <c r="C1343" s="3" t="s">
        <v>2970</v>
      </c>
      <c r="D1343" s="3" t="s">
        <v>2253</v>
      </c>
      <c r="E1343" s="3" t="s">
        <v>2254</v>
      </c>
      <c r="F1343" t="e">
        <f>_xlfn.XLOOKUP(A1343,[1]邦达数据库!$A:$A,[1]邦达数据库!$C:$C)</f>
        <v>#N/A</v>
      </c>
    </row>
    <row r="1344" ht="30" customHeight="1" spans="1:6">
      <c r="A1344" s="4" t="s">
        <v>2972</v>
      </c>
      <c r="B1344" s="5" t="s">
        <v>2973</v>
      </c>
      <c r="C1344" s="5" t="s">
        <v>716</v>
      </c>
      <c r="D1344" s="5" t="s">
        <v>1091</v>
      </c>
      <c r="E1344" s="5" t="s">
        <v>1092</v>
      </c>
      <c r="F1344" t="e">
        <f>_xlfn.XLOOKUP(A1344,[1]邦达数据库!$A:$A,[1]邦达数据库!$C:$C)</f>
        <v>#N/A</v>
      </c>
    </row>
    <row r="1345" ht="30" customHeight="1" spans="1:6">
      <c r="A1345" s="2" t="s">
        <v>2974</v>
      </c>
      <c r="B1345" s="3" t="s">
        <v>2973</v>
      </c>
      <c r="C1345" s="3" t="s">
        <v>716</v>
      </c>
      <c r="D1345" s="3" t="s">
        <v>2975</v>
      </c>
      <c r="E1345" s="3" t="s">
        <v>2976</v>
      </c>
      <c r="F1345" t="e">
        <f>_xlfn.XLOOKUP(A1345,[1]邦达数据库!$A:$A,[1]邦达数据库!$C:$C)</f>
        <v>#N/A</v>
      </c>
    </row>
    <row r="1346" ht="30" customHeight="1" spans="1:6">
      <c r="A1346" s="4" t="s">
        <v>2977</v>
      </c>
      <c r="B1346" s="5" t="s">
        <v>2973</v>
      </c>
      <c r="C1346" s="5" t="s">
        <v>716</v>
      </c>
      <c r="D1346" s="5" t="s">
        <v>1091</v>
      </c>
      <c r="E1346" s="5" t="s">
        <v>1092</v>
      </c>
      <c r="F1346" t="e">
        <f>_xlfn.XLOOKUP(A1346,[1]邦达数据库!$A:$A,[1]邦达数据库!$C:$C)</f>
        <v>#N/A</v>
      </c>
    </row>
    <row r="1347" ht="30" customHeight="1" spans="1:6">
      <c r="A1347" s="2" t="s">
        <v>2978</v>
      </c>
      <c r="B1347" s="3" t="s">
        <v>2973</v>
      </c>
      <c r="C1347" s="3" t="s">
        <v>716</v>
      </c>
      <c r="D1347" s="3" t="s">
        <v>1091</v>
      </c>
      <c r="E1347" s="3" t="s">
        <v>1092</v>
      </c>
      <c r="F1347" t="e">
        <f>_xlfn.XLOOKUP(A1347,[1]邦达数据库!$A:$A,[1]邦达数据库!$C:$C)</f>
        <v>#N/A</v>
      </c>
    </row>
    <row r="1348" ht="30" customHeight="1" spans="1:6">
      <c r="A1348" s="4" t="s">
        <v>2979</v>
      </c>
      <c r="B1348" s="5" t="s">
        <v>2980</v>
      </c>
      <c r="C1348" s="5" t="s">
        <v>98</v>
      </c>
      <c r="D1348" s="5" t="s">
        <v>2981</v>
      </c>
      <c r="E1348" s="5" t="s">
        <v>2982</v>
      </c>
      <c r="F1348" t="e">
        <f>_xlfn.XLOOKUP(A1348,[1]邦达数据库!$A:$A,[1]邦达数据库!$C:$C)</f>
        <v>#N/A</v>
      </c>
    </row>
    <row r="1349" ht="30" customHeight="1" spans="1:6">
      <c r="A1349" s="2" t="s">
        <v>2983</v>
      </c>
      <c r="B1349" s="3" t="s">
        <v>2980</v>
      </c>
      <c r="C1349" s="3" t="s">
        <v>98</v>
      </c>
      <c r="D1349" s="3" t="s">
        <v>280</v>
      </c>
      <c r="E1349" s="3" t="s">
        <v>281</v>
      </c>
      <c r="F1349" t="e">
        <f>_xlfn.XLOOKUP(A1349,[1]邦达数据库!$A:$A,[1]邦达数据库!$C:$C)</f>
        <v>#N/A</v>
      </c>
    </row>
    <row r="1350" ht="30" customHeight="1" spans="1:6">
      <c r="A1350" s="4" t="s">
        <v>2984</v>
      </c>
      <c r="B1350" s="5" t="s">
        <v>2980</v>
      </c>
      <c r="C1350" s="5" t="s">
        <v>98</v>
      </c>
      <c r="D1350" s="5" t="s">
        <v>276</v>
      </c>
      <c r="E1350" s="5" t="s">
        <v>277</v>
      </c>
      <c r="F1350" t="e">
        <f>_xlfn.XLOOKUP(A1350,[1]邦达数据库!$A:$A,[1]邦达数据库!$C:$C)</f>
        <v>#N/A</v>
      </c>
    </row>
    <row r="1351" ht="30" customHeight="1" spans="1:6">
      <c r="A1351" s="2" t="s">
        <v>2985</v>
      </c>
      <c r="B1351" s="3" t="s">
        <v>2980</v>
      </c>
      <c r="C1351" s="3" t="s">
        <v>98</v>
      </c>
      <c r="D1351" s="3" t="s">
        <v>276</v>
      </c>
      <c r="E1351" s="3" t="s">
        <v>277</v>
      </c>
      <c r="F1351" t="e">
        <f>_xlfn.XLOOKUP(A1351,[1]邦达数据库!$A:$A,[1]邦达数据库!$C:$C)</f>
        <v>#N/A</v>
      </c>
    </row>
    <row r="1352" ht="30" customHeight="1" spans="1:6">
      <c r="A1352" s="4" t="s">
        <v>2986</v>
      </c>
      <c r="B1352" s="5" t="s">
        <v>2473</v>
      </c>
      <c r="C1352" s="5" t="s">
        <v>17</v>
      </c>
      <c r="D1352" s="5" t="s">
        <v>217</v>
      </c>
      <c r="E1352" s="5" t="s">
        <v>218</v>
      </c>
      <c r="F1352" t="e">
        <f>_xlfn.XLOOKUP(A1352,[1]邦达数据库!$A:$A,[1]邦达数据库!$C:$C)</f>
        <v>#N/A</v>
      </c>
    </row>
    <row r="1353" ht="30" customHeight="1" spans="1:6">
      <c r="A1353" s="2" t="s">
        <v>2987</v>
      </c>
      <c r="B1353" s="3" t="s">
        <v>2473</v>
      </c>
      <c r="C1353" s="3" t="s">
        <v>17</v>
      </c>
      <c r="D1353" s="3" t="s">
        <v>217</v>
      </c>
      <c r="E1353" s="3" t="s">
        <v>218</v>
      </c>
      <c r="F1353" t="e">
        <f>_xlfn.XLOOKUP(A1353,[1]邦达数据库!$A:$A,[1]邦达数据库!$C:$C)</f>
        <v>#N/A</v>
      </c>
    </row>
    <row r="1354" ht="30" customHeight="1" spans="1:6">
      <c r="A1354" s="4" t="s">
        <v>2988</v>
      </c>
      <c r="B1354" s="5" t="s">
        <v>2989</v>
      </c>
      <c r="C1354" s="5" t="s">
        <v>725</v>
      </c>
      <c r="D1354" s="5" t="s">
        <v>417</v>
      </c>
      <c r="E1354" s="5" t="s">
        <v>418</v>
      </c>
      <c r="F1354" t="e">
        <f>_xlfn.XLOOKUP(A1354,[1]邦达数据库!$A:$A,[1]邦达数据库!$C:$C)</f>
        <v>#N/A</v>
      </c>
    </row>
    <row r="1355" ht="30" customHeight="1" spans="1:6">
      <c r="A1355" s="2" t="s">
        <v>2990</v>
      </c>
      <c r="B1355" s="3" t="s">
        <v>2991</v>
      </c>
      <c r="C1355" s="3" t="s">
        <v>157</v>
      </c>
      <c r="D1355" s="3" t="s">
        <v>832</v>
      </c>
      <c r="E1355" s="3" t="s">
        <v>833</v>
      </c>
      <c r="F1355" t="e">
        <f>_xlfn.XLOOKUP(A1355,[1]邦达数据库!$A:$A,[1]邦达数据库!$C:$C)</f>
        <v>#N/A</v>
      </c>
    </row>
    <row r="1356" ht="30" customHeight="1" spans="1:6">
      <c r="A1356" s="4" t="s">
        <v>2992</v>
      </c>
      <c r="B1356" s="5" t="s">
        <v>2991</v>
      </c>
      <c r="C1356" s="5" t="s">
        <v>157</v>
      </c>
      <c r="D1356" s="5" t="s">
        <v>832</v>
      </c>
      <c r="E1356" s="5" t="s">
        <v>833</v>
      </c>
      <c r="F1356" t="e">
        <f>_xlfn.XLOOKUP(A1356,[1]邦达数据库!$A:$A,[1]邦达数据库!$C:$C)</f>
        <v>#N/A</v>
      </c>
    </row>
    <row r="1357" ht="30" customHeight="1" spans="1:6">
      <c r="A1357" s="2" t="s">
        <v>2993</v>
      </c>
      <c r="B1357" s="3" t="s">
        <v>2994</v>
      </c>
      <c r="C1357" s="3" t="s">
        <v>2995</v>
      </c>
      <c r="D1357" s="3" t="s">
        <v>2996</v>
      </c>
      <c r="E1357" s="3" t="s">
        <v>2997</v>
      </c>
      <c r="F1357" t="e">
        <f>_xlfn.XLOOKUP(A1357,[1]邦达数据库!$A:$A,[1]邦达数据库!$C:$C)</f>
        <v>#N/A</v>
      </c>
    </row>
    <row r="1358" ht="30" customHeight="1" spans="1:6">
      <c r="A1358" s="4" t="s">
        <v>2998</v>
      </c>
      <c r="B1358" s="5" t="s">
        <v>2999</v>
      </c>
      <c r="C1358" s="5" t="s">
        <v>3000</v>
      </c>
      <c r="D1358" s="5" t="s">
        <v>1646</v>
      </c>
      <c r="E1358" s="5" t="s">
        <v>1647</v>
      </c>
      <c r="F1358" t="e">
        <f>_xlfn.XLOOKUP(A1358,[1]邦达数据库!$A:$A,[1]邦达数据库!$C:$C)</f>
        <v>#N/A</v>
      </c>
    </row>
    <row r="1359" ht="30" customHeight="1" spans="1:6">
      <c r="A1359" s="2" t="s">
        <v>3001</v>
      </c>
      <c r="B1359" s="3" t="s">
        <v>1614</v>
      </c>
      <c r="C1359" s="3" t="s">
        <v>300</v>
      </c>
      <c r="D1359" s="3" t="s">
        <v>1104</v>
      </c>
      <c r="E1359" s="3" t="s">
        <v>1105</v>
      </c>
      <c r="F1359" t="e">
        <f>_xlfn.XLOOKUP(A1359,[1]邦达数据库!$A:$A,[1]邦达数据库!$C:$C)</f>
        <v>#N/A</v>
      </c>
    </row>
    <row r="1360" ht="30" customHeight="1" spans="1:6">
      <c r="A1360" s="4" t="s">
        <v>3002</v>
      </c>
      <c r="B1360" s="5" t="s">
        <v>1614</v>
      </c>
      <c r="C1360" s="5" t="s">
        <v>300</v>
      </c>
      <c r="D1360" s="5" t="s">
        <v>1104</v>
      </c>
      <c r="E1360" s="5" t="s">
        <v>1105</v>
      </c>
      <c r="F1360" t="e">
        <f>_xlfn.XLOOKUP(A1360,[1]邦达数据库!$A:$A,[1]邦达数据库!$C:$C)</f>
        <v>#N/A</v>
      </c>
    </row>
    <row r="1361" ht="30" customHeight="1" spans="1:6">
      <c r="A1361" s="2" t="s">
        <v>3003</v>
      </c>
      <c r="B1361" s="3" t="s">
        <v>1614</v>
      </c>
      <c r="C1361" s="3" t="s">
        <v>300</v>
      </c>
      <c r="D1361" s="3" t="s">
        <v>1104</v>
      </c>
      <c r="E1361" s="3" t="s">
        <v>1105</v>
      </c>
      <c r="F1361" t="e">
        <f>_xlfn.XLOOKUP(A1361,[1]邦达数据库!$A:$A,[1]邦达数据库!$C:$C)</f>
        <v>#N/A</v>
      </c>
    </row>
    <row r="1362" ht="30" customHeight="1" spans="1:6">
      <c r="A1362" s="4" t="s">
        <v>3004</v>
      </c>
      <c r="B1362" s="5" t="s">
        <v>1614</v>
      </c>
      <c r="C1362" s="5" t="s">
        <v>300</v>
      </c>
      <c r="D1362" s="5" t="s">
        <v>1104</v>
      </c>
      <c r="E1362" s="5" t="s">
        <v>1105</v>
      </c>
      <c r="F1362" t="e">
        <f>_xlfn.XLOOKUP(A1362,[1]邦达数据库!$A:$A,[1]邦达数据库!$C:$C)</f>
        <v>#N/A</v>
      </c>
    </row>
    <row r="1363" ht="30" customHeight="1" spans="1:6">
      <c r="A1363" s="2" t="s">
        <v>3005</v>
      </c>
      <c r="B1363" s="3" t="s">
        <v>3006</v>
      </c>
      <c r="C1363" s="3" t="s">
        <v>335</v>
      </c>
      <c r="D1363" s="3" t="s">
        <v>799</v>
      </c>
      <c r="E1363" s="3" t="s">
        <v>800</v>
      </c>
      <c r="F1363" t="e">
        <f>_xlfn.XLOOKUP(A1363,[1]邦达数据库!$A:$A,[1]邦达数据库!$C:$C)</f>
        <v>#N/A</v>
      </c>
    </row>
    <row r="1364" ht="30" customHeight="1" spans="1:6">
      <c r="A1364" s="4" t="s">
        <v>3007</v>
      </c>
      <c r="B1364" s="5" t="s">
        <v>1614</v>
      </c>
      <c r="C1364" s="5" t="s">
        <v>300</v>
      </c>
      <c r="D1364" s="5" t="s">
        <v>1104</v>
      </c>
      <c r="E1364" s="5" t="s">
        <v>1105</v>
      </c>
      <c r="F1364" t="e">
        <f>_xlfn.XLOOKUP(A1364,[1]邦达数据库!$A:$A,[1]邦达数据库!$C:$C)</f>
        <v>#N/A</v>
      </c>
    </row>
    <row r="1365" ht="30" customHeight="1" spans="1:6">
      <c r="A1365" s="2" t="s">
        <v>3008</v>
      </c>
      <c r="B1365" s="3" t="s">
        <v>1614</v>
      </c>
      <c r="C1365" s="3" t="s">
        <v>300</v>
      </c>
      <c r="D1365" s="3" t="s">
        <v>1104</v>
      </c>
      <c r="E1365" s="3" t="s">
        <v>1105</v>
      </c>
      <c r="F1365" t="e">
        <f>_xlfn.XLOOKUP(A1365,[1]邦达数据库!$A:$A,[1]邦达数据库!$C:$C)</f>
        <v>#N/A</v>
      </c>
    </row>
    <row r="1366" ht="30" customHeight="1" spans="1:6">
      <c r="A1366" s="4" t="s">
        <v>3009</v>
      </c>
      <c r="B1366" s="5" t="s">
        <v>1614</v>
      </c>
      <c r="C1366" s="5" t="s">
        <v>300</v>
      </c>
      <c r="D1366" s="5" t="s">
        <v>719</v>
      </c>
      <c r="E1366" s="5" t="s">
        <v>720</v>
      </c>
      <c r="F1366" t="e">
        <f>_xlfn.XLOOKUP(A1366,[1]邦达数据库!$A:$A,[1]邦达数据库!$C:$C)</f>
        <v>#N/A</v>
      </c>
    </row>
    <row r="1367" ht="30" customHeight="1" spans="1:6">
      <c r="A1367" s="2" t="s">
        <v>3010</v>
      </c>
      <c r="B1367" s="3" t="s">
        <v>1614</v>
      </c>
      <c r="C1367" s="3" t="s">
        <v>300</v>
      </c>
      <c r="D1367" s="3" t="s">
        <v>1104</v>
      </c>
      <c r="E1367" s="3" t="s">
        <v>1105</v>
      </c>
      <c r="F1367" t="e">
        <f>_xlfn.XLOOKUP(A1367,[1]邦达数据库!$A:$A,[1]邦达数据库!$C:$C)</f>
        <v>#N/A</v>
      </c>
    </row>
    <row r="1368" ht="30" customHeight="1" spans="1:6">
      <c r="A1368" s="4" t="s">
        <v>3011</v>
      </c>
      <c r="B1368" s="5" t="s">
        <v>1614</v>
      </c>
      <c r="C1368" s="5" t="s">
        <v>300</v>
      </c>
      <c r="D1368" s="5" t="s">
        <v>1104</v>
      </c>
      <c r="E1368" s="5" t="s">
        <v>1105</v>
      </c>
      <c r="F1368" t="e">
        <f>_xlfn.XLOOKUP(A1368,[1]邦达数据库!$A:$A,[1]邦达数据库!$C:$C)</f>
        <v>#N/A</v>
      </c>
    </row>
    <row r="1369" ht="30" customHeight="1" spans="1:6">
      <c r="A1369" s="2" t="s">
        <v>3012</v>
      </c>
      <c r="B1369" s="3" t="s">
        <v>1614</v>
      </c>
      <c r="C1369" s="3" t="s">
        <v>300</v>
      </c>
      <c r="D1369" s="3" t="s">
        <v>719</v>
      </c>
      <c r="E1369" s="3" t="s">
        <v>720</v>
      </c>
      <c r="F1369" t="e">
        <f>_xlfn.XLOOKUP(A1369,[1]邦达数据库!$A:$A,[1]邦达数据库!$C:$C)</f>
        <v>#N/A</v>
      </c>
    </row>
    <row r="1370" ht="30" customHeight="1" spans="1:6">
      <c r="A1370" s="4" t="s">
        <v>3013</v>
      </c>
      <c r="B1370" s="5" t="s">
        <v>1614</v>
      </c>
      <c r="C1370" s="5" t="s">
        <v>300</v>
      </c>
      <c r="D1370" s="5" t="s">
        <v>1104</v>
      </c>
      <c r="E1370" s="5" t="s">
        <v>1105</v>
      </c>
      <c r="F1370" t="e">
        <f>_xlfn.XLOOKUP(A1370,[1]邦达数据库!$A:$A,[1]邦达数据库!$C:$C)</f>
        <v>#N/A</v>
      </c>
    </row>
    <row r="1371" ht="30" customHeight="1" spans="1:6">
      <c r="A1371" s="2" t="s">
        <v>3014</v>
      </c>
      <c r="B1371" s="3" t="s">
        <v>1614</v>
      </c>
      <c r="C1371" s="3" t="s">
        <v>300</v>
      </c>
      <c r="D1371" s="3" t="s">
        <v>1104</v>
      </c>
      <c r="E1371" s="3" t="s">
        <v>1105</v>
      </c>
      <c r="F1371" t="e">
        <f>_xlfn.XLOOKUP(A1371,[1]邦达数据库!$A:$A,[1]邦达数据库!$C:$C)</f>
        <v>#N/A</v>
      </c>
    </row>
    <row r="1372" ht="30" customHeight="1" spans="1:6">
      <c r="A1372" s="4" t="s">
        <v>3015</v>
      </c>
      <c r="B1372" s="5" t="s">
        <v>1614</v>
      </c>
      <c r="C1372" s="5" t="s">
        <v>300</v>
      </c>
      <c r="D1372" s="5" t="s">
        <v>1104</v>
      </c>
      <c r="E1372" s="5" t="s">
        <v>1105</v>
      </c>
      <c r="F1372" t="e">
        <f>_xlfn.XLOOKUP(A1372,[1]邦达数据库!$A:$A,[1]邦达数据库!$C:$C)</f>
        <v>#N/A</v>
      </c>
    </row>
    <row r="1373" ht="30" customHeight="1" spans="1:6">
      <c r="A1373" s="2" t="s">
        <v>3016</v>
      </c>
      <c r="B1373" s="3" t="s">
        <v>1614</v>
      </c>
      <c r="C1373" s="3" t="s">
        <v>300</v>
      </c>
      <c r="D1373" s="3" t="s">
        <v>719</v>
      </c>
      <c r="E1373" s="3" t="s">
        <v>720</v>
      </c>
      <c r="F1373" t="e">
        <f>_xlfn.XLOOKUP(A1373,[1]邦达数据库!$A:$A,[1]邦达数据库!$C:$C)</f>
        <v>#N/A</v>
      </c>
    </row>
    <row r="1374" ht="30" customHeight="1" spans="1:6">
      <c r="A1374" s="4" t="s">
        <v>3017</v>
      </c>
      <c r="B1374" s="5" t="s">
        <v>1614</v>
      </c>
      <c r="C1374" s="5" t="s">
        <v>300</v>
      </c>
      <c r="D1374" s="5" t="s">
        <v>719</v>
      </c>
      <c r="E1374" s="5" t="s">
        <v>720</v>
      </c>
      <c r="F1374" t="e">
        <f>_xlfn.XLOOKUP(A1374,[1]邦达数据库!$A:$A,[1]邦达数据库!$C:$C)</f>
        <v>#N/A</v>
      </c>
    </row>
    <row r="1375" ht="30" customHeight="1" spans="1:6">
      <c r="A1375" s="2" t="s">
        <v>3018</v>
      </c>
      <c r="B1375" s="3" t="s">
        <v>1614</v>
      </c>
      <c r="C1375" s="3" t="s">
        <v>300</v>
      </c>
      <c r="D1375" s="3" t="s">
        <v>719</v>
      </c>
      <c r="E1375" s="3" t="s">
        <v>720</v>
      </c>
      <c r="F1375" t="e">
        <f>_xlfn.XLOOKUP(A1375,[1]邦达数据库!$A:$A,[1]邦达数据库!$C:$C)</f>
        <v>#N/A</v>
      </c>
    </row>
    <row r="1376" ht="30" customHeight="1" spans="1:6">
      <c r="A1376" s="4" t="s">
        <v>3019</v>
      </c>
      <c r="B1376" s="5" t="s">
        <v>3020</v>
      </c>
      <c r="C1376" s="5" t="s">
        <v>3021</v>
      </c>
      <c r="D1376" s="5" t="s">
        <v>112</v>
      </c>
      <c r="E1376" s="5" t="s">
        <v>113</v>
      </c>
      <c r="F1376" t="e">
        <f>_xlfn.XLOOKUP(A1376,[1]邦达数据库!$A:$A,[1]邦达数据库!$C:$C)</f>
        <v>#N/A</v>
      </c>
    </row>
    <row r="1377" ht="30" customHeight="1" spans="1:6">
      <c r="A1377" s="2" t="s">
        <v>3022</v>
      </c>
      <c r="B1377" s="3" t="s">
        <v>3023</v>
      </c>
      <c r="C1377" s="3" t="s">
        <v>335</v>
      </c>
      <c r="D1377" s="3" t="s">
        <v>18</v>
      </c>
      <c r="E1377" s="3" t="s">
        <v>19</v>
      </c>
      <c r="F1377" t="e">
        <f>_xlfn.XLOOKUP(A1377,[1]邦达数据库!$A:$A,[1]邦达数据库!$C:$C)</f>
        <v>#N/A</v>
      </c>
    </row>
    <row r="1378" ht="30" customHeight="1" spans="1:6">
      <c r="A1378" s="4" t="s">
        <v>3024</v>
      </c>
      <c r="B1378" s="5" t="s">
        <v>3025</v>
      </c>
      <c r="C1378" s="5" t="s">
        <v>72</v>
      </c>
      <c r="D1378" s="5" t="s">
        <v>1304</v>
      </c>
      <c r="E1378" s="5" t="s">
        <v>1305</v>
      </c>
      <c r="F1378" t="e">
        <f>_xlfn.XLOOKUP(A1378,[1]邦达数据库!$A:$A,[1]邦达数据库!$C:$C)</f>
        <v>#N/A</v>
      </c>
    </row>
    <row r="1379" ht="30" customHeight="1" spans="1:6">
      <c r="A1379" s="2" t="s">
        <v>3026</v>
      </c>
      <c r="B1379" s="3" t="s">
        <v>3025</v>
      </c>
      <c r="C1379" s="3" t="s">
        <v>72</v>
      </c>
      <c r="D1379" s="3" t="s">
        <v>3027</v>
      </c>
      <c r="E1379" s="3" t="s">
        <v>3028</v>
      </c>
      <c r="F1379" t="e">
        <f>_xlfn.XLOOKUP(A1379,[1]邦达数据库!$A:$A,[1]邦达数据库!$C:$C)</f>
        <v>#N/A</v>
      </c>
    </row>
    <row r="1380" ht="30" customHeight="1" spans="1:6">
      <c r="A1380" s="4" t="s">
        <v>3029</v>
      </c>
      <c r="B1380" s="5" t="s">
        <v>3025</v>
      </c>
      <c r="C1380" s="5" t="s">
        <v>72</v>
      </c>
      <c r="D1380" s="5" t="s">
        <v>3030</v>
      </c>
      <c r="E1380" s="5" t="s">
        <v>3031</v>
      </c>
      <c r="F1380" t="e">
        <f>_xlfn.XLOOKUP(A1380,[1]邦达数据库!$A:$A,[1]邦达数据库!$C:$C)</f>
        <v>#N/A</v>
      </c>
    </row>
    <row r="1381" ht="30" customHeight="1" spans="1:6">
      <c r="A1381" s="2" t="s">
        <v>3032</v>
      </c>
      <c r="B1381" s="3" t="s">
        <v>3025</v>
      </c>
      <c r="C1381" s="3" t="s">
        <v>72</v>
      </c>
      <c r="D1381" s="3" t="s">
        <v>1304</v>
      </c>
      <c r="E1381" s="3" t="s">
        <v>1305</v>
      </c>
      <c r="F1381" t="e">
        <f>_xlfn.XLOOKUP(A1381,[1]邦达数据库!$A:$A,[1]邦达数据库!$C:$C)</f>
        <v>#N/A</v>
      </c>
    </row>
    <row r="1382" ht="30" customHeight="1" spans="1:6">
      <c r="A1382" s="4" t="s">
        <v>3033</v>
      </c>
      <c r="B1382" s="5" t="s">
        <v>3034</v>
      </c>
      <c r="C1382" s="5" t="s">
        <v>340</v>
      </c>
      <c r="D1382" s="5" t="s">
        <v>391</v>
      </c>
      <c r="E1382" s="5" t="s">
        <v>392</v>
      </c>
      <c r="F1382" t="e">
        <f>_xlfn.XLOOKUP(A1382,[1]邦达数据库!$A:$A,[1]邦达数据库!$C:$C)</f>
        <v>#N/A</v>
      </c>
    </row>
    <row r="1383" ht="30" customHeight="1" spans="1:6">
      <c r="A1383" s="2" t="s">
        <v>3035</v>
      </c>
      <c r="B1383" s="3" t="s">
        <v>3034</v>
      </c>
      <c r="C1383" s="3" t="s">
        <v>340</v>
      </c>
      <c r="D1383" s="3" t="s">
        <v>391</v>
      </c>
      <c r="E1383" s="3" t="s">
        <v>392</v>
      </c>
      <c r="F1383" t="e">
        <f>_xlfn.XLOOKUP(A1383,[1]邦达数据库!$A:$A,[1]邦达数据库!$C:$C)</f>
        <v>#N/A</v>
      </c>
    </row>
    <row r="1384" ht="30" customHeight="1" spans="1:6">
      <c r="A1384" s="4" t="s">
        <v>3036</v>
      </c>
      <c r="B1384" s="5" t="s">
        <v>3034</v>
      </c>
      <c r="C1384" s="5" t="s">
        <v>340</v>
      </c>
      <c r="D1384" s="5" t="s">
        <v>579</v>
      </c>
      <c r="E1384" s="5" t="s">
        <v>580</v>
      </c>
      <c r="F1384" t="e">
        <f>_xlfn.XLOOKUP(A1384,[1]邦达数据库!$A:$A,[1]邦达数据库!$C:$C)</f>
        <v>#N/A</v>
      </c>
    </row>
    <row r="1385" ht="30" customHeight="1" spans="1:6">
      <c r="A1385" s="2" t="s">
        <v>3037</v>
      </c>
      <c r="B1385" s="3" t="s">
        <v>3038</v>
      </c>
      <c r="C1385" s="3" t="s">
        <v>631</v>
      </c>
      <c r="D1385" s="3" t="s">
        <v>1312</v>
      </c>
      <c r="E1385" s="3" t="s">
        <v>1313</v>
      </c>
      <c r="F1385" t="e">
        <f>_xlfn.XLOOKUP(A1385,[1]邦达数据库!$A:$A,[1]邦达数据库!$C:$C)</f>
        <v>#N/A</v>
      </c>
    </row>
    <row r="1386" ht="30" customHeight="1" spans="1:6">
      <c r="A1386" s="4" t="s">
        <v>3039</v>
      </c>
      <c r="B1386" s="5" t="s">
        <v>3040</v>
      </c>
      <c r="C1386" s="5" t="s">
        <v>874</v>
      </c>
      <c r="D1386" s="5" t="s">
        <v>117</v>
      </c>
      <c r="E1386" s="5" t="s">
        <v>118</v>
      </c>
      <c r="F1386" t="e">
        <f>_xlfn.XLOOKUP(A1386,[1]邦达数据库!$A:$A,[1]邦达数据库!$C:$C)</f>
        <v>#N/A</v>
      </c>
    </row>
    <row r="1387" ht="30" customHeight="1" spans="1:6">
      <c r="A1387" s="2" t="s">
        <v>3041</v>
      </c>
      <c r="B1387" s="3" t="s">
        <v>3042</v>
      </c>
      <c r="C1387" s="3" t="s">
        <v>842</v>
      </c>
      <c r="D1387" s="3" t="s">
        <v>2397</v>
      </c>
      <c r="E1387" s="3" t="s">
        <v>2398</v>
      </c>
      <c r="F1387" t="e">
        <f>_xlfn.XLOOKUP(A1387,[1]邦达数据库!$A:$A,[1]邦达数据库!$C:$C)</f>
        <v>#N/A</v>
      </c>
    </row>
    <row r="1388" ht="30" customHeight="1" spans="1:6">
      <c r="A1388" s="4" t="s">
        <v>3043</v>
      </c>
      <c r="B1388" s="5" t="s">
        <v>3044</v>
      </c>
      <c r="C1388" s="5" t="s">
        <v>3045</v>
      </c>
      <c r="D1388" s="5" t="s">
        <v>1920</v>
      </c>
      <c r="E1388" s="5" t="s">
        <v>1921</v>
      </c>
      <c r="F1388" t="e">
        <f>_xlfn.XLOOKUP(A1388,[1]邦达数据库!$A:$A,[1]邦达数据库!$C:$C)</f>
        <v>#N/A</v>
      </c>
    </row>
    <row r="1389" ht="30" customHeight="1" spans="1:6">
      <c r="A1389" s="2" t="s">
        <v>3046</v>
      </c>
      <c r="B1389" s="3" t="s">
        <v>3044</v>
      </c>
      <c r="C1389" s="3" t="s">
        <v>3045</v>
      </c>
      <c r="D1389" s="3" t="s">
        <v>1920</v>
      </c>
      <c r="E1389" s="3" t="s">
        <v>1921</v>
      </c>
      <c r="F1389" t="e">
        <f>_xlfn.XLOOKUP(A1389,[1]邦达数据库!$A:$A,[1]邦达数据库!$C:$C)</f>
        <v>#N/A</v>
      </c>
    </row>
    <row r="1390" ht="30" customHeight="1" spans="1:6">
      <c r="A1390" s="4" t="s">
        <v>3047</v>
      </c>
      <c r="B1390" s="5" t="s">
        <v>3044</v>
      </c>
      <c r="C1390" s="5" t="s">
        <v>3048</v>
      </c>
      <c r="D1390" s="5" t="s">
        <v>518</v>
      </c>
      <c r="E1390" s="5" t="s">
        <v>519</v>
      </c>
      <c r="F1390" t="e">
        <f>_xlfn.XLOOKUP(A1390,[1]邦达数据库!$A:$A,[1]邦达数据库!$C:$C)</f>
        <v>#N/A</v>
      </c>
    </row>
    <row r="1391" ht="30" customHeight="1" spans="1:6">
      <c r="A1391" s="2" t="s">
        <v>3049</v>
      </c>
      <c r="B1391" s="3" t="s">
        <v>3044</v>
      </c>
      <c r="C1391" s="3" t="s">
        <v>3048</v>
      </c>
      <c r="D1391" s="3" t="s">
        <v>518</v>
      </c>
      <c r="E1391" s="3" t="s">
        <v>519</v>
      </c>
      <c r="F1391" t="e">
        <f>_xlfn.XLOOKUP(A1391,[1]邦达数据库!$A:$A,[1]邦达数据库!$C:$C)</f>
        <v>#N/A</v>
      </c>
    </row>
    <row r="1392" ht="30" customHeight="1" spans="1:6">
      <c r="A1392" s="4" t="s">
        <v>3050</v>
      </c>
      <c r="B1392" s="5" t="s">
        <v>3051</v>
      </c>
      <c r="C1392" s="5" t="s">
        <v>1065</v>
      </c>
      <c r="D1392" s="5" t="s">
        <v>3052</v>
      </c>
      <c r="E1392" s="5" t="s">
        <v>3053</v>
      </c>
      <c r="F1392" t="e">
        <f>_xlfn.XLOOKUP(A1392,[1]邦达数据库!$A:$A,[1]邦达数据库!$C:$C)</f>
        <v>#N/A</v>
      </c>
    </row>
    <row r="1393" ht="30" customHeight="1" spans="1:6">
      <c r="A1393" s="2" t="s">
        <v>3054</v>
      </c>
      <c r="B1393" s="3" t="s">
        <v>3055</v>
      </c>
      <c r="C1393" s="3" t="s">
        <v>3056</v>
      </c>
      <c r="D1393" s="3" t="s">
        <v>3057</v>
      </c>
      <c r="E1393" s="3" t="s">
        <v>3058</v>
      </c>
      <c r="F1393" t="e">
        <f>_xlfn.XLOOKUP(A1393,[1]邦达数据库!$A:$A,[1]邦达数据库!$C:$C)</f>
        <v>#N/A</v>
      </c>
    </row>
    <row r="1394" ht="30" customHeight="1" spans="1:6">
      <c r="A1394" s="4" t="s">
        <v>3059</v>
      </c>
      <c r="B1394" s="5" t="s">
        <v>3055</v>
      </c>
      <c r="C1394" s="5" t="s">
        <v>265</v>
      </c>
      <c r="D1394" s="5" t="s">
        <v>3060</v>
      </c>
      <c r="E1394" s="5" t="s">
        <v>3061</v>
      </c>
      <c r="F1394" t="e">
        <f>_xlfn.XLOOKUP(A1394,[1]邦达数据库!$A:$A,[1]邦达数据库!$C:$C)</f>
        <v>#N/A</v>
      </c>
    </row>
    <row r="1395" ht="30" customHeight="1" spans="1:6">
      <c r="A1395" s="2" t="s">
        <v>3062</v>
      </c>
      <c r="B1395" s="3" t="s">
        <v>3055</v>
      </c>
      <c r="C1395" s="3" t="s">
        <v>265</v>
      </c>
      <c r="D1395" s="3" t="s">
        <v>3063</v>
      </c>
      <c r="E1395" s="3" t="s">
        <v>3064</v>
      </c>
      <c r="F1395" t="e">
        <f>_xlfn.XLOOKUP(A1395,[1]邦达数据库!$A:$A,[1]邦达数据库!$C:$C)</f>
        <v>#N/A</v>
      </c>
    </row>
    <row r="1396" ht="30" customHeight="1" spans="1:6">
      <c r="A1396" s="4" t="s">
        <v>3065</v>
      </c>
      <c r="B1396" s="5" t="s">
        <v>3055</v>
      </c>
      <c r="C1396" s="5" t="s">
        <v>265</v>
      </c>
      <c r="D1396" s="5" t="s">
        <v>3066</v>
      </c>
      <c r="E1396" s="5" t="s">
        <v>3067</v>
      </c>
      <c r="F1396" t="e">
        <f>_xlfn.XLOOKUP(A1396,[1]邦达数据库!$A:$A,[1]邦达数据库!$C:$C)</f>
        <v>#N/A</v>
      </c>
    </row>
    <row r="1397" ht="30" customHeight="1" spans="1:6">
      <c r="A1397" s="2" t="s">
        <v>3068</v>
      </c>
      <c r="B1397" s="3" t="s">
        <v>3055</v>
      </c>
      <c r="C1397" s="3" t="s">
        <v>265</v>
      </c>
      <c r="D1397" s="3" t="s">
        <v>3069</v>
      </c>
      <c r="E1397" s="3" t="s">
        <v>3070</v>
      </c>
      <c r="F1397" t="e">
        <f>_xlfn.XLOOKUP(A1397,[1]邦达数据库!$A:$A,[1]邦达数据库!$C:$C)</f>
        <v>#N/A</v>
      </c>
    </row>
    <row r="1398" ht="30" customHeight="1" spans="1:6">
      <c r="A1398" s="4" t="s">
        <v>3071</v>
      </c>
      <c r="B1398" s="5" t="s">
        <v>3055</v>
      </c>
      <c r="C1398" s="5" t="s">
        <v>3056</v>
      </c>
      <c r="D1398" s="5" t="s">
        <v>250</v>
      </c>
      <c r="E1398" s="5" t="s">
        <v>251</v>
      </c>
      <c r="F1398" t="e">
        <f>_xlfn.XLOOKUP(A1398,[1]邦达数据库!$A:$A,[1]邦达数据库!$C:$C)</f>
        <v>#N/A</v>
      </c>
    </row>
    <row r="1399" ht="30" customHeight="1" spans="1:6">
      <c r="A1399" s="2" t="s">
        <v>3072</v>
      </c>
      <c r="B1399" s="3" t="s">
        <v>3055</v>
      </c>
      <c r="C1399" s="3" t="s">
        <v>265</v>
      </c>
      <c r="D1399" s="3" t="s">
        <v>64</v>
      </c>
      <c r="E1399" s="3" t="s">
        <v>65</v>
      </c>
      <c r="F1399" t="e">
        <f>_xlfn.XLOOKUP(A1399,[1]邦达数据库!$A:$A,[1]邦达数据库!$C:$C)</f>
        <v>#N/A</v>
      </c>
    </row>
    <row r="1400" ht="30" customHeight="1" spans="1:6">
      <c r="A1400" s="4" t="s">
        <v>3073</v>
      </c>
      <c r="B1400" s="5" t="s">
        <v>3055</v>
      </c>
      <c r="C1400" s="5" t="s">
        <v>265</v>
      </c>
      <c r="D1400" s="5" t="s">
        <v>3063</v>
      </c>
      <c r="E1400" s="5" t="s">
        <v>3064</v>
      </c>
      <c r="F1400" t="e">
        <f>_xlfn.XLOOKUP(A1400,[1]邦达数据库!$A:$A,[1]邦达数据库!$C:$C)</f>
        <v>#N/A</v>
      </c>
    </row>
    <row r="1401" ht="30" customHeight="1" spans="1:6">
      <c r="A1401" s="2" t="s">
        <v>3074</v>
      </c>
      <c r="B1401" s="3" t="s">
        <v>3055</v>
      </c>
      <c r="C1401" s="3" t="s">
        <v>265</v>
      </c>
      <c r="D1401" s="3" t="s">
        <v>64</v>
      </c>
      <c r="E1401" s="3" t="s">
        <v>65</v>
      </c>
      <c r="F1401" t="e">
        <f>_xlfn.XLOOKUP(A1401,[1]邦达数据库!$A:$A,[1]邦达数据库!$C:$C)</f>
        <v>#N/A</v>
      </c>
    </row>
    <row r="1402" ht="30" customHeight="1" spans="1:6">
      <c r="A1402" s="4" t="s">
        <v>3075</v>
      </c>
      <c r="B1402" s="5" t="s">
        <v>3055</v>
      </c>
      <c r="C1402" s="5" t="s">
        <v>3056</v>
      </c>
      <c r="D1402" s="5" t="s">
        <v>250</v>
      </c>
      <c r="E1402" s="5" t="s">
        <v>251</v>
      </c>
      <c r="F1402" t="e">
        <f>_xlfn.XLOOKUP(A1402,[1]邦达数据库!$A:$A,[1]邦达数据库!$C:$C)</f>
        <v>#N/A</v>
      </c>
    </row>
    <row r="1403" ht="30" customHeight="1" spans="1:6">
      <c r="A1403" s="2" t="s">
        <v>3076</v>
      </c>
      <c r="B1403" s="3" t="s">
        <v>3055</v>
      </c>
      <c r="C1403" s="3" t="s">
        <v>265</v>
      </c>
      <c r="D1403" s="3" t="s">
        <v>3063</v>
      </c>
      <c r="E1403" s="3" t="s">
        <v>3064</v>
      </c>
      <c r="F1403" t="e">
        <f>_xlfn.XLOOKUP(A1403,[1]邦达数据库!$A:$A,[1]邦达数据库!$C:$C)</f>
        <v>#N/A</v>
      </c>
    </row>
    <row r="1404" ht="30" customHeight="1" spans="1:6">
      <c r="A1404" s="4" t="s">
        <v>3077</v>
      </c>
      <c r="B1404" s="5" t="s">
        <v>3078</v>
      </c>
      <c r="C1404" s="5" t="s">
        <v>335</v>
      </c>
      <c r="D1404" s="5" t="s">
        <v>3079</v>
      </c>
      <c r="E1404" s="5" t="s">
        <v>3080</v>
      </c>
      <c r="F1404" t="e">
        <f>_xlfn.XLOOKUP(A1404,[1]邦达数据库!$A:$A,[1]邦达数据库!$C:$C)</f>
        <v>#N/A</v>
      </c>
    </row>
    <row r="1405" ht="30" customHeight="1" spans="1:6">
      <c r="A1405" s="2" t="s">
        <v>3081</v>
      </c>
      <c r="B1405" s="3" t="s">
        <v>3078</v>
      </c>
      <c r="C1405" s="3" t="s">
        <v>335</v>
      </c>
      <c r="D1405" s="3" t="s">
        <v>3079</v>
      </c>
      <c r="E1405" s="3" t="s">
        <v>3080</v>
      </c>
      <c r="F1405" t="e">
        <f>_xlfn.XLOOKUP(A1405,[1]邦达数据库!$A:$A,[1]邦达数据库!$C:$C)</f>
        <v>#N/A</v>
      </c>
    </row>
    <row r="1406" ht="30" customHeight="1" spans="1:6">
      <c r="A1406" s="4" t="s">
        <v>3082</v>
      </c>
      <c r="B1406" s="5" t="s">
        <v>3083</v>
      </c>
      <c r="C1406" s="5" t="s">
        <v>3084</v>
      </c>
      <c r="D1406" s="5" t="s">
        <v>2390</v>
      </c>
      <c r="E1406" s="5" t="s">
        <v>2391</v>
      </c>
      <c r="F1406" t="e">
        <f>_xlfn.XLOOKUP(A1406,[1]邦达数据库!$A:$A,[1]邦达数据库!$C:$C)</f>
        <v>#N/A</v>
      </c>
    </row>
    <row r="1407" ht="30" customHeight="1" spans="1:6">
      <c r="A1407" s="2" t="s">
        <v>3085</v>
      </c>
      <c r="B1407" s="3" t="s">
        <v>3086</v>
      </c>
      <c r="C1407" s="3" t="s">
        <v>3087</v>
      </c>
      <c r="D1407" s="3" t="s">
        <v>1104</v>
      </c>
      <c r="E1407" s="3" t="s">
        <v>1105</v>
      </c>
      <c r="F1407" t="e">
        <f>_xlfn.XLOOKUP(A1407,[1]邦达数据库!$A:$A,[1]邦达数据库!$C:$C)</f>
        <v>#N/A</v>
      </c>
    </row>
    <row r="1408" ht="30" customHeight="1" spans="1:6">
      <c r="A1408" s="4" t="s">
        <v>3088</v>
      </c>
      <c r="B1408" s="5" t="s">
        <v>1008</v>
      </c>
      <c r="C1408" s="5" t="s">
        <v>819</v>
      </c>
      <c r="D1408" s="5" t="s">
        <v>223</v>
      </c>
      <c r="E1408" s="5" t="s">
        <v>224</v>
      </c>
      <c r="F1408" t="e">
        <f>_xlfn.XLOOKUP(A1408,[1]邦达数据库!$A:$A,[1]邦达数据库!$C:$C)</f>
        <v>#N/A</v>
      </c>
    </row>
    <row r="1409" ht="30" customHeight="1" spans="1:6">
      <c r="A1409" s="2" t="s">
        <v>3089</v>
      </c>
      <c r="B1409" s="3" t="s">
        <v>3090</v>
      </c>
      <c r="C1409" s="3" t="s">
        <v>17</v>
      </c>
      <c r="D1409" s="3" t="s">
        <v>319</v>
      </c>
      <c r="E1409" s="3" t="s">
        <v>320</v>
      </c>
      <c r="F1409" t="e">
        <f>_xlfn.XLOOKUP(A1409,[1]邦达数据库!$A:$A,[1]邦达数据库!$C:$C)</f>
        <v>#N/A</v>
      </c>
    </row>
    <row r="1410" ht="30" customHeight="1" spans="1:6">
      <c r="A1410" s="4" t="s">
        <v>3091</v>
      </c>
      <c r="B1410" s="5" t="s">
        <v>3090</v>
      </c>
      <c r="C1410" s="5" t="s">
        <v>17</v>
      </c>
      <c r="D1410" s="5" t="s">
        <v>319</v>
      </c>
      <c r="E1410" s="5" t="s">
        <v>320</v>
      </c>
      <c r="F1410" t="e">
        <f>_xlfn.XLOOKUP(A1410,[1]邦达数据库!$A:$A,[1]邦达数据库!$C:$C)</f>
        <v>#N/A</v>
      </c>
    </row>
    <row r="1411" ht="30" customHeight="1" spans="1:6">
      <c r="A1411" s="2" t="s">
        <v>3092</v>
      </c>
      <c r="B1411" s="3" t="s">
        <v>3090</v>
      </c>
      <c r="C1411" s="3" t="s">
        <v>17</v>
      </c>
      <c r="D1411" s="3" t="s">
        <v>2416</v>
      </c>
      <c r="E1411" s="3" t="s">
        <v>2417</v>
      </c>
      <c r="F1411" t="e">
        <f>_xlfn.XLOOKUP(A1411,[1]邦达数据库!$A:$A,[1]邦达数据库!$C:$C)</f>
        <v>#N/A</v>
      </c>
    </row>
    <row r="1412" ht="30" customHeight="1" spans="1:6">
      <c r="A1412" s="4" t="s">
        <v>3093</v>
      </c>
      <c r="B1412" s="5" t="s">
        <v>3090</v>
      </c>
      <c r="C1412" s="5" t="s">
        <v>17</v>
      </c>
      <c r="D1412" s="5" t="s">
        <v>2416</v>
      </c>
      <c r="E1412" s="5" t="s">
        <v>2417</v>
      </c>
      <c r="F1412" t="e">
        <f>_xlfn.XLOOKUP(A1412,[1]邦达数据库!$A:$A,[1]邦达数据库!$C:$C)</f>
        <v>#N/A</v>
      </c>
    </row>
    <row r="1413" ht="30" customHeight="1" spans="1:6">
      <c r="A1413" s="2" t="s">
        <v>3094</v>
      </c>
      <c r="B1413" s="3" t="s">
        <v>3095</v>
      </c>
      <c r="C1413" s="3" t="s">
        <v>865</v>
      </c>
      <c r="D1413" s="3" t="s">
        <v>3096</v>
      </c>
      <c r="E1413" s="3" t="s">
        <v>3097</v>
      </c>
      <c r="F1413" t="e">
        <f>_xlfn.XLOOKUP(A1413,[1]邦达数据库!$A:$A,[1]邦达数据库!$C:$C)</f>
        <v>#N/A</v>
      </c>
    </row>
    <row r="1414" ht="30" customHeight="1" spans="1:6">
      <c r="A1414" s="4" t="s">
        <v>3098</v>
      </c>
      <c r="B1414" s="5" t="s">
        <v>3099</v>
      </c>
      <c r="C1414" s="5" t="s">
        <v>865</v>
      </c>
      <c r="D1414" s="5" t="s">
        <v>1522</v>
      </c>
      <c r="E1414" s="5" t="s">
        <v>1523</v>
      </c>
      <c r="F1414" t="e">
        <f>_xlfn.XLOOKUP(A1414,[1]邦达数据库!$A:$A,[1]邦达数据库!$C:$C)</f>
        <v>#N/A</v>
      </c>
    </row>
    <row r="1415" ht="30" customHeight="1" spans="1:6">
      <c r="A1415" s="4" t="s">
        <v>3100</v>
      </c>
      <c r="B1415" s="5" t="s">
        <v>3099</v>
      </c>
      <c r="C1415" s="5" t="s">
        <v>865</v>
      </c>
      <c r="D1415" s="5" t="s">
        <v>3101</v>
      </c>
      <c r="E1415" s="5" t="s">
        <v>3102</v>
      </c>
      <c r="F1415" t="e">
        <f>_xlfn.XLOOKUP(A1415,[1]邦达数据库!$A:$A,[1]邦达数据库!$C:$C)</f>
        <v>#N/A</v>
      </c>
    </row>
    <row r="1416" ht="30" customHeight="1" spans="1:6">
      <c r="A1416" s="2" t="s">
        <v>3103</v>
      </c>
      <c r="B1416" s="3" t="s">
        <v>3099</v>
      </c>
      <c r="C1416" s="3" t="s">
        <v>865</v>
      </c>
      <c r="D1416" s="3" t="s">
        <v>3104</v>
      </c>
      <c r="E1416" s="3" t="s">
        <v>3105</v>
      </c>
      <c r="F1416" t="e">
        <f>_xlfn.XLOOKUP(A1416,[1]邦达数据库!$A:$A,[1]邦达数据库!$C:$C)</f>
        <v>#N/A</v>
      </c>
    </row>
    <row r="1417" ht="30" customHeight="1" spans="1:6">
      <c r="A1417" s="2" t="s">
        <v>3106</v>
      </c>
      <c r="B1417" s="3" t="s">
        <v>3099</v>
      </c>
      <c r="C1417" s="3" t="s">
        <v>865</v>
      </c>
      <c r="D1417" s="3" t="s">
        <v>3107</v>
      </c>
      <c r="E1417" s="3" t="s">
        <v>3108</v>
      </c>
      <c r="F1417" t="e">
        <f>_xlfn.XLOOKUP(A1417,[1]邦达数据库!$A:$A,[1]邦达数据库!$C:$C)</f>
        <v>#N/A</v>
      </c>
    </row>
    <row r="1418" ht="30" customHeight="1" spans="1:6">
      <c r="A1418" s="4" t="s">
        <v>3109</v>
      </c>
      <c r="B1418" s="5" t="s">
        <v>3099</v>
      </c>
      <c r="C1418" s="5" t="s">
        <v>865</v>
      </c>
      <c r="D1418" s="5" t="s">
        <v>3110</v>
      </c>
      <c r="E1418" s="5" t="s">
        <v>3111</v>
      </c>
      <c r="F1418" t="e">
        <f>_xlfn.XLOOKUP(A1418,[1]邦达数据库!$A:$A,[1]邦达数据库!$C:$C)</f>
        <v>#N/A</v>
      </c>
    </row>
    <row r="1419" ht="30" customHeight="1" spans="1:6">
      <c r="A1419" s="2" t="s">
        <v>3112</v>
      </c>
      <c r="B1419" s="3" t="s">
        <v>3099</v>
      </c>
      <c r="C1419" s="3" t="s">
        <v>865</v>
      </c>
      <c r="D1419" s="3" t="s">
        <v>3113</v>
      </c>
      <c r="E1419" s="3" t="s">
        <v>3114</v>
      </c>
      <c r="F1419" t="e">
        <f>_xlfn.XLOOKUP(A1419,[1]邦达数据库!$A:$A,[1]邦达数据库!$C:$C)</f>
        <v>#N/A</v>
      </c>
    </row>
    <row r="1420" ht="30" customHeight="1" spans="1:6">
      <c r="A1420" s="4" t="s">
        <v>3115</v>
      </c>
      <c r="B1420" s="5" t="s">
        <v>3099</v>
      </c>
      <c r="C1420" s="5" t="s">
        <v>865</v>
      </c>
      <c r="D1420" s="5" t="s">
        <v>3116</v>
      </c>
      <c r="E1420" s="5" t="s">
        <v>3117</v>
      </c>
      <c r="F1420" t="e">
        <f>_xlfn.XLOOKUP(A1420,[1]邦达数据库!$A:$A,[1]邦达数据库!$C:$C)</f>
        <v>#N/A</v>
      </c>
    </row>
    <row r="1421" ht="30" customHeight="1" spans="1:6">
      <c r="A1421" s="2" t="s">
        <v>3118</v>
      </c>
      <c r="B1421" s="3" t="s">
        <v>3099</v>
      </c>
      <c r="C1421" s="3" t="s">
        <v>865</v>
      </c>
      <c r="D1421" s="3" t="s">
        <v>3119</v>
      </c>
      <c r="E1421" s="3" t="s">
        <v>3120</v>
      </c>
      <c r="F1421" t="e">
        <f>_xlfn.XLOOKUP(A1421,[1]邦达数据库!$A:$A,[1]邦达数据库!$C:$C)</f>
        <v>#N/A</v>
      </c>
    </row>
    <row r="1422" ht="30" customHeight="1" spans="1:6">
      <c r="A1422" s="4" t="s">
        <v>3121</v>
      </c>
      <c r="B1422" s="5" t="s">
        <v>3122</v>
      </c>
      <c r="C1422" s="5" t="s">
        <v>22</v>
      </c>
      <c r="D1422" s="5" t="s">
        <v>1116</v>
      </c>
      <c r="E1422" s="5" t="s">
        <v>1117</v>
      </c>
      <c r="F1422" t="e">
        <f>_xlfn.XLOOKUP(A1422,[1]邦达数据库!$A:$A,[1]邦达数据库!$C:$C)</f>
        <v>#N/A</v>
      </c>
    </row>
    <row r="1423" ht="30" customHeight="1" spans="1:6">
      <c r="A1423" s="4" t="s">
        <v>3123</v>
      </c>
      <c r="B1423" s="5" t="s">
        <v>3124</v>
      </c>
      <c r="C1423" s="5" t="s">
        <v>318</v>
      </c>
      <c r="D1423" s="5" t="s">
        <v>33</v>
      </c>
      <c r="E1423" s="5" t="s">
        <v>34</v>
      </c>
      <c r="F1423" t="e">
        <f>_xlfn.XLOOKUP(A1423,[1]邦达数据库!$A:$A,[1]邦达数据库!$C:$C)</f>
        <v>#N/A</v>
      </c>
    </row>
    <row r="1424" ht="30" customHeight="1" spans="1:6">
      <c r="A1424" s="2" t="s">
        <v>3125</v>
      </c>
      <c r="B1424" s="3" t="s">
        <v>3124</v>
      </c>
      <c r="C1424" s="3" t="s">
        <v>318</v>
      </c>
      <c r="D1424" s="3" t="s">
        <v>3126</v>
      </c>
      <c r="E1424" s="3" t="s">
        <v>3127</v>
      </c>
      <c r="F1424" t="e">
        <f>_xlfn.XLOOKUP(A1424,[1]邦达数据库!$A:$A,[1]邦达数据库!$C:$C)</f>
        <v>#N/A</v>
      </c>
    </row>
    <row r="1425" ht="30" customHeight="1" spans="1:6">
      <c r="A1425" s="4" t="s">
        <v>3128</v>
      </c>
      <c r="B1425" s="5" t="s">
        <v>3124</v>
      </c>
      <c r="C1425" s="5" t="s">
        <v>318</v>
      </c>
      <c r="D1425" s="5" t="s">
        <v>33</v>
      </c>
      <c r="E1425" s="5" t="s">
        <v>34</v>
      </c>
      <c r="F1425" t="e">
        <f>_xlfn.XLOOKUP(A1425,[1]邦达数据库!$A:$A,[1]邦达数据库!$C:$C)</f>
        <v>#N/A</v>
      </c>
    </row>
    <row r="1426" ht="30" customHeight="1" spans="1:6">
      <c r="A1426" s="2" t="s">
        <v>3129</v>
      </c>
      <c r="B1426" s="3" t="s">
        <v>3124</v>
      </c>
      <c r="C1426" s="3" t="s">
        <v>318</v>
      </c>
      <c r="D1426" s="3" t="s">
        <v>551</v>
      </c>
      <c r="E1426" s="3" t="s">
        <v>552</v>
      </c>
      <c r="F1426" t="e">
        <f>_xlfn.XLOOKUP(A1426,[1]邦达数据库!$A:$A,[1]邦达数据库!$C:$C)</f>
        <v>#N/A</v>
      </c>
    </row>
    <row r="1427" ht="30" customHeight="1" spans="1:6">
      <c r="A1427" s="4" t="s">
        <v>3130</v>
      </c>
      <c r="B1427" s="5" t="s">
        <v>3124</v>
      </c>
      <c r="C1427" s="5" t="s">
        <v>318</v>
      </c>
      <c r="D1427" s="5" t="s">
        <v>266</v>
      </c>
      <c r="E1427" s="5" t="s">
        <v>267</v>
      </c>
      <c r="F1427" t="e">
        <f>_xlfn.XLOOKUP(A1427,[1]邦达数据库!$A:$A,[1]邦达数据库!$C:$C)</f>
        <v>#N/A</v>
      </c>
    </row>
    <row r="1428" ht="30" customHeight="1" spans="1:6">
      <c r="A1428" s="2" t="s">
        <v>3131</v>
      </c>
      <c r="B1428" s="3" t="s">
        <v>3124</v>
      </c>
      <c r="C1428" s="3" t="s">
        <v>318</v>
      </c>
      <c r="D1428" s="3" t="s">
        <v>266</v>
      </c>
      <c r="E1428" s="3" t="s">
        <v>267</v>
      </c>
      <c r="F1428" t="e">
        <f>_xlfn.XLOOKUP(A1428,[1]邦达数据库!$A:$A,[1]邦达数据库!$C:$C)</f>
        <v>#N/A</v>
      </c>
    </row>
    <row r="1429" ht="30" customHeight="1" spans="1:6">
      <c r="A1429" s="4" t="s">
        <v>3132</v>
      </c>
      <c r="B1429" s="5" t="s">
        <v>3133</v>
      </c>
      <c r="C1429" s="5" t="s">
        <v>2730</v>
      </c>
      <c r="D1429" s="5" t="s">
        <v>2397</v>
      </c>
      <c r="E1429" s="5" t="s">
        <v>2398</v>
      </c>
      <c r="F1429" t="e">
        <f>_xlfn.XLOOKUP(A1429,[1]邦达数据库!$A:$A,[1]邦达数据库!$C:$C)</f>
        <v>#N/A</v>
      </c>
    </row>
    <row r="1430" ht="30" customHeight="1" spans="1:6">
      <c r="A1430" s="2" t="s">
        <v>3134</v>
      </c>
      <c r="B1430" s="3" t="s">
        <v>3133</v>
      </c>
      <c r="C1430" s="3" t="s">
        <v>1987</v>
      </c>
      <c r="D1430" s="3" t="s">
        <v>3135</v>
      </c>
      <c r="E1430" s="3" t="s">
        <v>3136</v>
      </c>
      <c r="F1430" t="e">
        <f>_xlfn.XLOOKUP(A1430,[1]邦达数据库!$A:$A,[1]邦达数据库!$C:$C)</f>
        <v>#N/A</v>
      </c>
    </row>
    <row r="1431" ht="30" customHeight="1" spans="1:6">
      <c r="A1431" s="4" t="s">
        <v>3137</v>
      </c>
      <c r="B1431" s="5" t="s">
        <v>3133</v>
      </c>
      <c r="C1431" s="5" t="s">
        <v>3138</v>
      </c>
      <c r="D1431" s="5" t="s">
        <v>3139</v>
      </c>
      <c r="E1431" s="5" t="s">
        <v>3140</v>
      </c>
      <c r="F1431" t="e">
        <f>_xlfn.XLOOKUP(A1431,[1]邦达数据库!$A:$A,[1]邦达数据库!$C:$C)</f>
        <v>#N/A</v>
      </c>
    </row>
    <row r="1432" ht="30" customHeight="1" spans="1:6">
      <c r="A1432" s="2" t="s">
        <v>3141</v>
      </c>
      <c r="B1432" s="3" t="s">
        <v>3133</v>
      </c>
      <c r="C1432" s="3" t="s">
        <v>1987</v>
      </c>
      <c r="D1432" s="3" t="s">
        <v>3142</v>
      </c>
      <c r="E1432" s="3" t="s">
        <v>3143</v>
      </c>
      <c r="F1432" t="e">
        <f>_xlfn.XLOOKUP(A1432,[1]邦达数据库!$A:$A,[1]邦达数据库!$C:$C)</f>
        <v>#N/A</v>
      </c>
    </row>
    <row r="1433" ht="30" customHeight="1" spans="1:6">
      <c r="A1433" s="4" t="s">
        <v>3144</v>
      </c>
      <c r="B1433" s="5" t="s">
        <v>3133</v>
      </c>
      <c r="C1433" s="5" t="s">
        <v>1987</v>
      </c>
      <c r="D1433" s="5" t="s">
        <v>3142</v>
      </c>
      <c r="E1433" s="5" t="s">
        <v>3143</v>
      </c>
      <c r="F1433" t="e">
        <f>_xlfn.XLOOKUP(A1433,[1]邦达数据库!$A:$A,[1]邦达数据库!$C:$C)</f>
        <v>#N/A</v>
      </c>
    </row>
    <row r="1434" ht="30" customHeight="1" spans="1:6">
      <c r="A1434" s="2" t="s">
        <v>3145</v>
      </c>
      <c r="B1434" s="3" t="s">
        <v>3146</v>
      </c>
      <c r="C1434" s="3" t="s">
        <v>1467</v>
      </c>
      <c r="D1434" s="3" t="s">
        <v>2253</v>
      </c>
      <c r="E1434" s="3" t="s">
        <v>2254</v>
      </c>
      <c r="F1434" t="e">
        <f>_xlfn.XLOOKUP(A1434,[1]邦达数据库!$A:$A,[1]邦达数据库!$C:$C)</f>
        <v>#N/A</v>
      </c>
    </row>
    <row r="1435" ht="30" customHeight="1" spans="1:6">
      <c r="A1435" s="4" t="s">
        <v>3147</v>
      </c>
      <c r="B1435" s="5" t="s">
        <v>3146</v>
      </c>
      <c r="C1435" s="5" t="s">
        <v>1467</v>
      </c>
      <c r="D1435" s="5" t="s">
        <v>1574</v>
      </c>
      <c r="E1435" s="5" t="s">
        <v>1575</v>
      </c>
      <c r="F1435" t="e">
        <f>_xlfn.XLOOKUP(A1435,[1]邦达数据库!$A:$A,[1]邦达数据库!$C:$C)</f>
        <v>#N/A</v>
      </c>
    </row>
    <row r="1436" ht="30" customHeight="1" spans="1:6">
      <c r="A1436" s="2" t="s">
        <v>3148</v>
      </c>
      <c r="B1436" s="3" t="s">
        <v>3149</v>
      </c>
      <c r="C1436" s="3" t="s">
        <v>3150</v>
      </c>
      <c r="D1436" s="3" t="s">
        <v>3151</v>
      </c>
      <c r="E1436" s="3" t="s">
        <v>3152</v>
      </c>
      <c r="F1436" t="e">
        <f>_xlfn.XLOOKUP(A1436,[1]邦达数据库!$A:$A,[1]邦达数据库!$C:$C)</f>
        <v>#N/A</v>
      </c>
    </row>
    <row r="1437" ht="30" customHeight="1" spans="1:6">
      <c r="A1437" s="4" t="s">
        <v>3153</v>
      </c>
      <c r="B1437" s="5" t="s">
        <v>3149</v>
      </c>
      <c r="C1437" s="5" t="s">
        <v>3150</v>
      </c>
      <c r="D1437" s="5" t="s">
        <v>2096</v>
      </c>
      <c r="E1437" s="5" t="s">
        <v>2097</v>
      </c>
      <c r="F1437" t="str">
        <f>_xlfn.XLOOKUP(A1437,[1]邦达数据库!$A:$A,[1]邦达数据库!$C:$C)</f>
        <v>7616.99.9099</v>
      </c>
    </row>
    <row r="1438" ht="30" customHeight="1" spans="1:6">
      <c r="A1438" s="2" t="s">
        <v>3154</v>
      </c>
      <c r="B1438" s="3" t="s">
        <v>3149</v>
      </c>
      <c r="C1438" s="3" t="s">
        <v>3150</v>
      </c>
      <c r="D1438" s="3" t="s">
        <v>3151</v>
      </c>
      <c r="E1438" s="3" t="s">
        <v>3152</v>
      </c>
      <c r="F1438" t="str">
        <f>_xlfn.XLOOKUP(A1438,[1]邦达数据库!$A:$A,[1]邦达数据库!$C:$C)</f>
        <v>7616.99.9099</v>
      </c>
    </row>
    <row r="1439" ht="30" customHeight="1" spans="1:6">
      <c r="A1439" s="4" t="s">
        <v>3155</v>
      </c>
      <c r="B1439" s="5" t="s">
        <v>3149</v>
      </c>
      <c r="C1439" s="5" t="s">
        <v>3150</v>
      </c>
      <c r="D1439" s="5" t="s">
        <v>3151</v>
      </c>
      <c r="E1439" s="5" t="s">
        <v>3152</v>
      </c>
      <c r="F1439" t="str">
        <f>_xlfn.XLOOKUP(A1439,[1]邦达数据库!$A:$A,[1]邦达数据库!$C:$C)</f>
        <v>7616.99.9099</v>
      </c>
    </row>
    <row r="1440" ht="30" customHeight="1" spans="1:6">
      <c r="A1440" s="2" t="s">
        <v>3156</v>
      </c>
      <c r="B1440" s="3" t="s">
        <v>3149</v>
      </c>
      <c r="C1440" s="3" t="s">
        <v>3150</v>
      </c>
      <c r="D1440" s="3" t="s">
        <v>3151</v>
      </c>
      <c r="E1440" s="3" t="s">
        <v>3152</v>
      </c>
      <c r="F1440" t="str">
        <f>_xlfn.XLOOKUP(A1440,[1]邦达数据库!$A:$A,[1]邦达数据库!$C:$C)</f>
        <v>7326.90.3000</v>
      </c>
    </row>
    <row r="1441" ht="30" customHeight="1" spans="1:6">
      <c r="A1441" s="4" t="s">
        <v>3157</v>
      </c>
      <c r="B1441" s="5" t="s">
        <v>3158</v>
      </c>
      <c r="C1441" s="5" t="s">
        <v>1979</v>
      </c>
      <c r="D1441" s="5" t="s">
        <v>3159</v>
      </c>
      <c r="E1441" s="5" t="s">
        <v>3160</v>
      </c>
      <c r="F1441" t="e">
        <f>_xlfn.XLOOKUP(A1441,[1]邦达数据库!$A:$A,[1]邦达数据库!$C:$C)</f>
        <v>#N/A</v>
      </c>
    </row>
    <row r="1442" ht="30" customHeight="1" spans="1:6">
      <c r="A1442" s="2" t="s">
        <v>3161</v>
      </c>
      <c r="B1442" s="3" t="s">
        <v>3158</v>
      </c>
      <c r="C1442" s="3" t="s">
        <v>1979</v>
      </c>
      <c r="D1442" s="3" t="s">
        <v>3159</v>
      </c>
      <c r="E1442" s="3" t="s">
        <v>3160</v>
      </c>
      <c r="F1442" t="e">
        <f>_xlfn.XLOOKUP(A1442,[1]邦达数据库!$A:$A,[1]邦达数据库!$C:$C)</f>
        <v>#N/A</v>
      </c>
    </row>
    <row r="1443" ht="30" customHeight="1" spans="1:6">
      <c r="A1443" s="4" t="s">
        <v>3162</v>
      </c>
      <c r="B1443" s="5" t="s">
        <v>3158</v>
      </c>
      <c r="C1443" s="5" t="s">
        <v>1979</v>
      </c>
      <c r="D1443" s="5" t="s">
        <v>3159</v>
      </c>
      <c r="E1443" s="5" t="s">
        <v>3160</v>
      </c>
      <c r="F1443" t="e">
        <f>_xlfn.XLOOKUP(A1443,[1]邦达数据库!$A:$A,[1]邦达数据库!$C:$C)</f>
        <v>#N/A</v>
      </c>
    </row>
    <row r="1444" ht="30" customHeight="1" spans="1:6">
      <c r="A1444" s="2" t="s">
        <v>3163</v>
      </c>
      <c r="B1444" s="3" t="s">
        <v>3158</v>
      </c>
      <c r="C1444" s="3" t="s">
        <v>1979</v>
      </c>
      <c r="D1444" s="3" t="s">
        <v>3159</v>
      </c>
      <c r="E1444" s="3" t="s">
        <v>3160</v>
      </c>
      <c r="F1444" t="e">
        <f>_xlfn.XLOOKUP(A1444,[1]邦达数据库!$A:$A,[1]邦达数据库!$C:$C)</f>
        <v>#N/A</v>
      </c>
    </row>
    <row r="1445" ht="30" customHeight="1" spans="1:6">
      <c r="A1445" s="4" t="s">
        <v>3164</v>
      </c>
      <c r="B1445" s="5" t="s">
        <v>3158</v>
      </c>
      <c r="C1445" s="5" t="s">
        <v>1979</v>
      </c>
      <c r="D1445" s="5" t="s">
        <v>3159</v>
      </c>
      <c r="E1445" s="5" t="s">
        <v>3160</v>
      </c>
      <c r="F1445" t="e">
        <f>_xlfn.XLOOKUP(A1445,[1]邦达数据库!$A:$A,[1]邦达数据库!$C:$C)</f>
        <v>#N/A</v>
      </c>
    </row>
    <row r="1446" ht="30" customHeight="1" spans="1:6">
      <c r="A1446" s="2" t="s">
        <v>3165</v>
      </c>
      <c r="B1446" s="3" t="s">
        <v>3158</v>
      </c>
      <c r="C1446" s="3" t="s">
        <v>1979</v>
      </c>
      <c r="D1446" s="3" t="s">
        <v>3159</v>
      </c>
      <c r="E1446" s="3" t="s">
        <v>3160</v>
      </c>
      <c r="F1446" t="e">
        <f>_xlfn.XLOOKUP(A1446,[1]邦达数据库!$A:$A,[1]邦达数据库!$C:$C)</f>
        <v>#N/A</v>
      </c>
    </row>
    <row r="1447" ht="30" customHeight="1" spans="1:6">
      <c r="A1447" s="4" t="s">
        <v>3166</v>
      </c>
      <c r="B1447" s="5" t="s">
        <v>3158</v>
      </c>
      <c r="C1447" s="5" t="s">
        <v>1979</v>
      </c>
      <c r="D1447" s="5" t="s">
        <v>3159</v>
      </c>
      <c r="E1447" s="5" t="s">
        <v>3160</v>
      </c>
      <c r="F1447" t="e">
        <f>_xlfn.XLOOKUP(A1447,[1]邦达数据库!$A:$A,[1]邦达数据库!$C:$C)</f>
        <v>#N/A</v>
      </c>
    </row>
    <row r="1448" ht="30" customHeight="1" spans="1:6">
      <c r="A1448" s="2" t="s">
        <v>3167</v>
      </c>
      <c r="B1448" s="3" t="s">
        <v>3158</v>
      </c>
      <c r="C1448" s="3" t="s">
        <v>1979</v>
      </c>
      <c r="D1448" s="3" t="s">
        <v>3159</v>
      </c>
      <c r="E1448" s="3" t="s">
        <v>3160</v>
      </c>
      <c r="F1448" t="e">
        <f>_xlfn.XLOOKUP(A1448,[1]邦达数据库!$A:$A,[1]邦达数据库!$C:$C)</f>
        <v>#N/A</v>
      </c>
    </row>
    <row r="1449" ht="30" customHeight="1" spans="1:6">
      <c r="A1449" s="4" t="s">
        <v>3168</v>
      </c>
      <c r="B1449" s="5" t="s">
        <v>3169</v>
      </c>
      <c r="C1449" s="5" t="s">
        <v>865</v>
      </c>
      <c r="D1449" s="5" t="s">
        <v>256</v>
      </c>
      <c r="E1449" s="5" t="s">
        <v>257</v>
      </c>
      <c r="F1449" t="e">
        <f>_xlfn.XLOOKUP(A1449,[1]邦达数据库!$A:$A,[1]邦达数据库!$C:$C)</f>
        <v>#N/A</v>
      </c>
    </row>
    <row r="1450" ht="30" customHeight="1" spans="1:6">
      <c r="A1450" s="2" t="s">
        <v>3170</v>
      </c>
      <c r="B1450" s="3" t="s">
        <v>3171</v>
      </c>
      <c r="C1450" s="3" t="s">
        <v>2054</v>
      </c>
      <c r="D1450" s="3" t="s">
        <v>223</v>
      </c>
      <c r="E1450" s="3" t="s">
        <v>224</v>
      </c>
      <c r="F1450" t="e">
        <f>_xlfn.XLOOKUP(A1450,[1]邦达数据库!$A:$A,[1]邦达数据库!$C:$C)</f>
        <v>#N/A</v>
      </c>
    </row>
    <row r="1451" ht="30" customHeight="1" spans="1:6">
      <c r="A1451" s="4" t="s">
        <v>3172</v>
      </c>
      <c r="B1451" s="5" t="s">
        <v>3171</v>
      </c>
      <c r="C1451" s="5" t="s">
        <v>2054</v>
      </c>
      <c r="D1451" s="5" t="s">
        <v>223</v>
      </c>
      <c r="E1451" s="5" t="s">
        <v>224</v>
      </c>
      <c r="F1451" t="e">
        <f>_xlfn.XLOOKUP(A1451,[1]邦达数据库!$A:$A,[1]邦达数据库!$C:$C)</f>
        <v>#N/A</v>
      </c>
    </row>
    <row r="1452" ht="30" customHeight="1" spans="1:6">
      <c r="A1452" s="2" t="s">
        <v>3173</v>
      </c>
      <c r="B1452" s="3" t="s">
        <v>3171</v>
      </c>
      <c r="C1452" s="3" t="s">
        <v>2054</v>
      </c>
      <c r="D1452" s="3" t="s">
        <v>223</v>
      </c>
      <c r="E1452" s="3" t="s">
        <v>224</v>
      </c>
      <c r="F1452" t="e">
        <f>_xlfn.XLOOKUP(A1452,[1]邦达数据库!$A:$A,[1]邦达数据库!$C:$C)</f>
        <v>#N/A</v>
      </c>
    </row>
    <row r="1453" ht="30" customHeight="1" spans="1:6">
      <c r="A1453" s="4" t="s">
        <v>3174</v>
      </c>
      <c r="B1453" s="5" t="s">
        <v>790</v>
      </c>
      <c r="C1453" s="5" t="s">
        <v>791</v>
      </c>
      <c r="D1453" s="5" t="s">
        <v>400</v>
      </c>
      <c r="E1453" s="5" t="s">
        <v>401</v>
      </c>
      <c r="F1453" t="e">
        <f>_xlfn.XLOOKUP(A1453,[1]邦达数据库!$A:$A,[1]邦达数据库!$C:$C)</f>
        <v>#N/A</v>
      </c>
    </row>
    <row r="1454" ht="30" customHeight="1" spans="1:6">
      <c r="A1454" s="4" t="s">
        <v>3175</v>
      </c>
      <c r="B1454" s="5" t="s">
        <v>3176</v>
      </c>
      <c r="C1454" s="5" t="s">
        <v>3177</v>
      </c>
      <c r="D1454" s="5" t="s">
        <v>140</v>
      </c>
      <c r="E1454" s="5" t="s">
        <v>141</v>
      </c>
      <c r="F1454" t="e">
        <f>_xlfn.XLOOKUP(A1454,[1]邦达数据库!$A:$A,[1]邦达数据库!$C:$C)</f>
        <v>#N/A</v>
      </c>
    </row>
    <row r="1455" ht="30" customHeight="1" spans="1:6">
      <c r="A1455" s="2" t="s">
        <v>3178</v>
      </c>
      <c r="B1455" s="3" t="s">
        <v>3176</v>
      </c>
      <c r="C1455" s="3" t="s">
        <v>3177</v>
      </c>
      <c r="D1455" s="3" t="s">
        <v>140</v>
      </c>
      <c r="E1455" s="3" t="s">
        <v>141</v>
      </c>
      <c r="F1455" t="e">
        <f>_xlfn.XLOOKUP(A1455,[1]邦达数据库!$A:$A,[1]邦达数据库!$C:$C)</f>
        <v>#N/A</v>
      </c>
    </row>
    <row r="1456" ht="30" customHeight="1" spans="1:6">
      <c r="A1456" s="4" t="s">
        <v>3179</v>
      </c>
      <c r="B1456" s="5" t="s">
        <v>3176</v>
      </c>
      <c r="C1456" s="5" t="s">
        <v>3177</v>
      </c>
      <c r="D1456" s="5" t="s">
        <v>140</v>
      </c>
      <c r="E1456" s="5" t="s">
        <v>141</v>
      </c>
      <c r="F1456" t="e">
        <f>_xlfn.XLOOKUP(A1456,[1]邦达数据库!$A:$A,[1]邦达数据库!$C:$C)</f>
        <v>#N/A</v>
      </c>
    </row>
    <row r="1457" ht="30" customHeight="1" spans="1:6">
      <c r="A1457" s="2" t="s">
        <v>3180</v>
      </c>
      <c r="B1457" s="3" t="s">
        <v>3176</v>
      </c>
      <c r="C1457" s="3" t="s">
        <v>3177</v>
      </c>
      <c r="D1457" s="3" t="s">
        <v>3181</v>
      </c>
      <c r="E1457" s="3" t="s">
        <v>3182</v>
      </c>
      <c r="F1457" t="e">
        <f>_xlfn.XLOOKUP(A1457,[1]邦达数据库!$A:$A,[1]邦达数据库!$C:$C)</f>
        <v>#N/A</v>
      </c>
    </row>
    <row r="1458" ht="30" customHeight="1" spans="1:6">
      <c r="A1458" s="4" t="s">
        <v>3183</v>
      </c>
      <c r="B1458" s="5" t="s">
        <v>3176</v>
      </c>
      <c r="C1458" s="5" t="s">
        <v>3177</v>
      </c>
      <c r="D1458" s="5" t="s">
        <v>3184</v>
      </c>
      <c r="E1458" s="5" t="s">
        <v>3185</v>
      </c>
      <c r="F1458" t="e">
        <f>_xlfn.XLOOKUP(A1458,[1]邦达数据库!$A:$A,[1]邦达数据库!$C:$C)</f>
        <v>#N/A</v>
      </c>
    </row>
    <row r="1459" ht="30" customHeight="1" spans="1:6">
      <c r="A1459" s="2" t="s">
        <v>3186</v>
      </c>
      <c r="B1459" s="3" t="s">
        <v>3176</v>
      </c>
      <c r="C1459" s="3" t="s">
        <v>3177</v>
      </c>
      <c r="D1459" s="3" t="s">
        <v>140</v>
      </c>
      <c r="E1459" s="3" t="s">
        <v>141</v>
      </c>
      <c r="F1459" t="e">
        <f>_xlfn.XLOOKUP(A1459,[1]邦达数据库!$A:$A,[1]邦达数据库!$C:$C)</f>
        <v>#N/A</v>
      </c>
    </row>
    <row r="1460" ht="30" customHeight="1" spans="1:6">
      <c r="A1460" s="4" t="s">
        <v>3187</v>
      </c>
      <c r="B1460" s="5" t="s">
        <v>3176</v>
      </c>
      <c r="C1460" s="5" t="s">
        <v>3177</v>
      </c>
      <c r="D1460" s="5" t="s">
        <v>140</v>
      </c>
      <c r="E1460" s="5" t="s">
        <v>141</v>
      </c>
      <c r="F1460" t="e">
        <f>_xlfn.XLOOKUP(A1460,[1]邦达数据库!$A:$A,[1]邦达数据库!$C:$C)</f>
        <v>#N/A</v>
      </c>
    </row>
    <row r="1461" ht="30" customHeight="1" spans="1:6">
      <c r="A1461" s="2" t="s">
        <v>3188</v>
      </c>
      <c r="B1461" s="3" t="s">
        <v>3189</v>
      </c>
      <c r="C1461" s="3" t="s">
        <v>3190</v>
      </c>
      <c r="D1461" s="3" t="s">
        <v>3191</v>
      </c>
      <c r="E1461" s="3" t="s">
        <v>3192</v>
      </c>
      <c r="F1461" t="e">
        <f>_xlfn.XLOOKUP(A1461,[1]邦达数据库!$A:$A,[1]邦达数据库!$C:$C)</f>
        <v>#N/A</v>
      </c>
    </row>
    <row r="1462" ht="30" customHeight="1" spans="1:6">
      <c r="A1462" s="4" t="s">
        <v>3193</v>
      </c>
      <c r="B1462" s="5" t="s">
        <v>3194</v>
      </c>
      <c r="C1462" s="5" t="s">
        <v>111</v>
      </c>
      <c r="D1462" s="5" t="s">
        <v>1522</v>
      </c>
      <c r="E1462" s="5" t="s">
        <v>1523</v>
      </c>
      <c r="F1462" t="e">
        <f>_xlfn.XLOOKUP(A1462,[1]邦达数据库!$A:$A,[1]邦达数据库!$C:$C)</f>
        <v>#N/A</v>
      </c>
    </row>
    <row r="1463" ht="30" customHeight="1" spans="1:6">
      <c r="A1463" s="2" t="s">
        <v>3195</v>
      </c>
      <c r="B1463" s="3" t="s">
        <v>3196</v>
      </c>
      <c r="C1463" s="3" t="s">
        <v>2373</v>
      </c>
      <c r="D1463" s="3" t="s">
        <v>2822</v>
      </c>
      <c r="E1463" s="3" t="s">
        <v>2823</v>
      </c>
      <c r="F1463" t="e">
        <f>_xlfn.XLOOKUP(A1463,[1]邦达数据库!$A:$A,[1]邦达数据库!$C:$C)</f>
        <v>#N/A</v>
      </c>
    </row>
    <row r="1464" ht="30" customHeight="1" spans="1:6">
      <c r="A1464" s="4" t="s">
        <v>3197</v>
      </c>
      <c r="B1464" s="5" t="s">
        <v>3198</v>
      </c>
      <c r="C1464" s="5" t="s">
        <v>318</v>
      </c>
      <c r="D1464" s="5" t="s">
        <v>223</v>
      </c>
      <c r="E1464" s="5" t="s">
        <v>224</v>
      </c>
      <c r="F1464" t="e">
        <f>_xlfn.XLOOKUP(A1464,[1]邦达数据库!$A:$A,[1]邦达数据库!$C:$C)</f>
        <v>#N/A</v>
      </c>
    </row>
    <row r="1465" ht="30" customHeight="1" spans="1:6">
      <c r="A1465" s="2" t="s">
        <v>3199</v>
      </c>
      <c r="B1465" s="3" t="s">
        <v>3198</v>
      </c>
      <c r="C1465" s="3" t="s">
        <v>318</v>
      </c>
      <c r="D1465" s="3" t="s">
        <v>223</v>
      </c>
      <c r="E1465" s="3" t="s">
        <v>224</v>
      </c>
      <c r="F1465" t="e">
        <f>_xlfn.XLOOKUP(A1465,[1]邦达数据库!$A:$A,[1]邦达数据库!$C:$C)</f>
        <v>#N/A</v>
      </c>
    </row>
    <row r="1466" ht="30" customHeight="1" spans="1:6">
      <c r="A1466" s="4" t="s">
        <v>3200</v>
      </c>
      <c r="B1466" s="5" t="s">
        <v>3124</v>
      </c>
      <c r="C1466" s="5" t="s">
        <v>318</v>
      </c>
      <c r="D1466" s="5" t="s">
        <v>3126</v>
      </c>
      <c r="E1466" s="5" t="s">
        <v>3127</v>
      </c>
      <c r="F1466" t="e">
        <f>_xlfn.XLOOKUP(A1466,[1]邦达数据库!$A:$A,[1]邦达数据库!$C:$C)</f>
        <v>#N/A</v>
      </c>
    </row>
    <row r="1467" ht="30" customHeight="1" spans="1:6">
      <c r="A1467" s="2" t="s">
        <v>3201</v>
      </c>
      <c r="B1467" s="3" t="s">
        <v>3124</v>
      </c>
      <c r="C1467" s="3" t="s">
        <v>318</v>
      </c>
      <c r="D1467" s="3" t="s">
        <v>33</v>
      </c>
      <c r="E1467" s="3" t="s">
        <v>34</v>
      </c>
      <c r="F1467" t="e">
        <f>_xlfn.XLOOKUP(A1467,[1]邦达数据库!$A:$A,[1]邦达数据库!$C:$C)</f>
        <v>#N/A</v>
      </c>
    </row>
    <row r="1468" ht="30" customHeight="1" spans="1:6">
      <c r="A1468" s="4" t="s">
        <v>3202</v>
      </c>
      <c r="B1468" s="5" t="s">
        <v>3124</v>
      </c>
      <c r="C1468" s="5" t="s">
        <v>318</v>
      </c>
      <c r="D1468" s="5" t="s">
        <v>266</v>
      </c>
      <c r="E1468" s="5" t="s">
        <v>267</v>
      </c>
      <c r="F1468" t="e">
        <f>_xlfn.XLOOKUP(A1468,[1]邦达数据库!$A:$A,[1]邦达数据库!$C:$C)</f>
        <v>#N/A</v>
      </c>
    </row>
    <row r="1469" ht="30" customHeight="1" spans="1:6">
      <c r="A1469" s="2" t="s">
        <v>3203</v>
      </c>
      <c r="B1469" s="3" t="s">
        <v>3124</v>
      </c>
      <c r="C1469" s="3" t="s">
        <v>318</v>
      </c>
      <c r="D1469" s="3" t="s">
        <v>266</v>
      </c>
      <c r="E1469" s="3" t="s">
        <v>267</v>
      </c>
      <c r="F1469" t="e">
        <f>_xlfn.XLOOKUP(A1469,[1]邦达数据库!$A:$A,[1]邦达数据库!$C:$C)</f>
        <v>#N/A</v>
      </c>
    </row>
    <row r="1470" ht="30" customHeight="1" spans="1:6">
      <c r="A1470" s="4" t="s">
        <v>3204</v>
      </c>
      <c r="B1470" s="5" t="s">
        <v>3124</v>
      </c>
      <c r="C1470" s="5" t="s">
        <v>318</v>
      </c>
      <c r="D1470" s="5" t="s">
        <v>266</v>
      </c>
      <c r="E1470" s="5" t="s">
        <v>267</v>
      </c>
      <c r="F1470" t="e">
        <f>_xlfn.XLOOKUP(A1470,[1]邦达数据库!$A:$A,[1]邦达数据库!$C:$C)</f>
        <v>#N/A</v>
      </c>
    </row>
    <row r="1471" ht="30" customHeight="1" spans="1:6">
      <c r="A1471" s="2" t="s">
        <v>3205</v>
      </c>
      <c r="B1471" s="3" t="s">
        <v>3124</v>
      </c>
      <c r="C1471" s="3" t="s">
        <v>318</v>
      </c>
      <c r="D1471" s="3" t="s">
        <v>2253</v>
      </c>
      <c r="E1471" s="3" t="s">
        <v>2254</v>
      </c>
      <c r="F1471" t="e">
        <f>_xlfn.XLOOKUP(A1471,[1]邦达数据库!$A:$A,[1]邦达数据库!$C:$C)</f>
        <v>#N/A</v>
      </c>
    </row>
    <row r="1472" ht="30" customHeight="1" spans="1:6">
      <c r="A1472" s="4" t="s">
        <v>3206</v>
      </c>
      <c r="B1472" s="5" t="s">
        <v>3207</v>
      </c>
      <c r="C1472" s="5" t="s">
        <v>3208</v>
      </c>
      <c r="D1472" s="5" t="s">
        <v>478</v>
      </c>
      <c r="E1472" s="5" t="s">
        <v>479</v>
      </c>
      <c r="F1472" t="e">
        <f>_xlfn.XLOOKUP(A1472,[1]邦达数据库!$A:$A,[1]邦达数据库!$C:$C)</f>
        <v>#N/A</v>
      </c>
    </row>
    <row r="1473" ht="30" customHeight="1" spans="1:6">
      <c r="A1473" s="2" t="s">
        <v>3209</v>
      </c>
      <c r="B1473" s="3" t="s">
        <v>3210</v>
      </c>
      <c r="C1473" s="3" t="s">
        <v>3211</v>
      </c>
      <c r="D1473" s="3" t="s">
        <v>1474</v>
      </c>
      <c r="E1473" s="3" t="s">
        <v>1475</v>
      </c>
      <c r="F1473" t="e">
        <f>_xlfn.XLOOKUP(A1473,[1]邦达数据库!$A:$A,[1]邦达数据库!$C:$C)</f>
        <v>#N/A</v>
      </c>
    </row>
    <row r="1474" ht="30" customHeight="1" spans="1:6">
      <c r="A1474" s="4" t="s">
        <v>3212</v>
      </c>
      <c r="B1474" s="5" t="s">
        <v>3210</v>
      </c>
      <c r="C1474" s="5" t="s">
        <v>865</v>
      </c>
      <c r="D1474" s="5" t="s">
        <v>2250</v>
      </c>
      <c r="E1474" s="5" t="s">
        <v>2251</v>
      </c>
      <c r="F1474" t="e">
        <f>_xlfn.XLOOKUP(A1474,[1]邦达数据库!$A:$A,[1]邦达数据库!$C:$C)</f>
        <v>#N/A</v>
      </c>
    </row>
    <row r="1475" ht="30" customHeight="1" spans="1:6">
      <c r="A1475" s="2" t="s">
        <v>3213</v>
      </c>
      <c r="B1475" s="3" t="s">
        <v>3210</v>
      </c>
      <c r="C1475" s="3" t="s">
        <v>865</v>
      </c>
      <c r="D1475" s="3" t="s">
        <v>2250</v>
      </c>
      <c r="E1475" s="3" t="s">
        <v>2251</v>
      </c>
      <c r="F1475" t="e">
        <f>_xlfn.XLOOKUP(A1475,[1]邦达数据库!$A:$A,[1]邦达数据库!$C:$C)</f>
        <v>#N/A</v>
      </c>
    </row>
    <row r="1476" ht="30" customHeight="1" spans="1:6">
      <c r="A1476" s="4" t="s">
        <v>3214</v>
      </c>
      <c r="B1476" s="5" t="s">
        <v>3210</v>
      </c>
      <c r="C1476" s="5" t="s">
        <v>3211</v>
      </c>
      <c r="D1476" s="5" t="s">
        <v>1474</v>
      </c>
      <c r="E1476" s="5" t="s">
        <v>1475</v>
      </c>
      <c r="F1476" t="e">
        <f>_xlfn.XLOOKUP(A1476,[1]邦达数据库!$A:$A,[1]邦达数据库!$C:$C)</f>
        <v>#N/A</v>
      </c>
    </row>
    <row r="1477" ht="30" customHeight="1" spans="1:6">
      <c r="A1477" s="2" t="s">
        <v>3215</v>
      </c>
      <c r="B1477" s="3" t="s">
        <v>3216</v>
      </c>
      <c r="C1477" s="3" t="s">
        <v>685</v>
      </c>
      <c r="D1477" s="3" t="s">
        <v>117</v>
      </c>
      <c r="E1477" s="3" t="s">
        <v>118</v>
      </c>
      <c r="F1477" t="e">
        <f>_xlfn.XLOOKUP(A1477,[1]邦达数据库!$A:$A,[1]邦达数据库!$C:$C)</f>
        <v>#N/A</v>
      </c>
    </row>
    <row r="1478" ht="30" customHeight="1" spans="1:6">
      <c r="A1478" s="4" t="s">
        <v>3217</v>
      </c>
      <c r="B1478" s="5" t="s">
        <v>1265</v>
      </c>
      <c r="C1478" s="5" t="s">
        <v>412</v>
      </c>
      <c r="D1478" s="5" t="s">
        <v>621</v>
      </c>
      <c r="E1478" s="5" t="s">
        <v>622</v>
      </c>
      <c r="F1478" t="e">
        <f>_xlfn.XLOOKUP(A1478,[1]邦达数据库!$A:$A,[1]邦达数据库!$C:$C)</f>
        <v>#N/A</v>
      </c>
    </row>
    <row r="1479" ht="30" customHeight="1" spans="1:6">
      <c r="A1479" s="2" t="s">
        <v>3218</v>
      </c>
      <c r="B1479" s="3" t="s">
        <v>3219</v>
      </c>
      <c r="C1479" s="3" t="s">
        <v>3220</v>
      </c>
      <c r="D1479" s="3" t="s">
        <v>2039</v>
      </c>
      <c r="E1479" s="3" t="s">
        <v>2040</v>
      </c>
      <c r="F1479" t="e">
        <f>_xlfn.XLOOKUP(A1479,[1]邦达数据库!$A:$A,[1]邦达数据库!$C:$C)</f>
        <v>#N/A</v>
      </c>
    </row>
    <row r="1480" ht="30" customHeight="1" spans="1:6">
      <c r="A1480" s="4" t="s">
        <v>3221</v>
      </c>
      <c r="B1480" s="5" t="s">
        <v>3222</v>
      </c>
      <c r="C1480" s="5" t="s">
        <v>3223</v>
      </c>
      <c r="D1480" s="5" t="s">
        <v>1052</v>
      </c>
      <c r="E1480" s="5" t="s">
        <v>1053</v>
      </c>
      <c r="F1480" t="e">
        <f>_xlfn.XLOOKUP(A1480,[1]邦达数据库!$A:$A,[1]邦达数据库!$C:$C)</f>
        <v>#N/A</v>
      </c>
    </row>
    <row r="1481" ht="30" customHeight="1" spans="1:6">
      <c r="A1481" s="2" t="s">
        <v>3224</v>
      </c>
      <c r="B1481" s="3" t="s">
        <v>3222</v>
      </c>
      <c r="C1481" s="3" t="s">
        <v>3223</v>
      </c>
      <c r="D1481" s="3" t="s">
        <v>1474</v>
      </c>
      <c r="E1481" s="3" t="s">
        <v>1475</v>
      </c>
      <c r="F1481" t="e">
        <f>_xlfn.XLOOKUP(A1481,[1]邦达数据库!$A:$A,[1]邦达数据库!$C:$C)</f>
        <v>#N/A</v>
      </c>
    </row>
    <row r="1482" ht="30" customHeight="1" spans="1:6">
      <c r="A1482" s="4" t="s">
        <v>3225</v>
      </c>
      <c r="B1482" s="5" t="s">
        <v>3222</v>
      </c>
      <c r="C1482" s="5" t="s">
        <v>3223</v>
      </c>
      <c r="D1482" s="5" t="s">
        <v>785</v>
      </c>
      <c r="E1482" s="5" t="s">
        <v>786</v>
      </c>
      <c r="F1482" t="e">
        <f>_xlfn.XLOOKUP(A1482,[1]邦达数据库!$A:$A,[1]邦达数据库!$C:$C)</f>
        <v>#N/A</v>
      </c>
    </row>
    <row r="1483" ht="30" customHeight="1" spans="1:6">
      <c r="A1483" s="2" t="s">
        <v>3226</v>
      </c>
      <c r="B1483" s="3" t="s">
        <v>3227</v>
      </c>
      <c r="C1483" s="3" t="s">
        <v>88</v>
      </c>
      <c r="D1483" s="3" t="s">
        <v>1920</v>
      </c>
      <c r="E1483" s="3" t="s">
        <v>1921</v>
      </c>
      <c r="F1483" t="e">
        <f>_xlfn.XLOOKUP(A1483,[1]邦达数据库!$A:$A,[1]邦达数据库!$C:$C)</f>
        <v>#N/A</v>
      </c>
    </row>
    <row r="1484" ht="30" customHeight="1" spans="1:6">
      <c r="A1484" s="4" t="s">
        <v>3228</v>
      </c>
      <c r="B1484" s="5" t="s">
        <v>3227</v>
      </c>
      <c r="C1484" s="5" t="s">
        <v>1467</v>
      </c>
      <c r="D1484" s="5" t="s">
        <v>3151</v>
      </c>
      <c r="E1484" s="5" t="s">
        <v>3152</v>
      </c>
      <c r="F1484" t="e">
        <f>_xlfn.XLOOKUP(A1484,[1]邦达数据库!$A:$A,[1]邦达数据库!$C:$C)</f>
        <v>#N/A</v>
      </c>
    </row>
    <row r="1485" ht="30" customHeight="1" spans="1:6">
      <c r="A1485" s="2" t="s">
        <v>3229</v>
      </c>
      <c r="B1485" s="3" t="s">
        <v>3230</v>
      </c>
      <c r="C1485" s="3" t="s">
        <v>3231</v>
      </c>
      <c r="D1485" s="3" t="s">
        <v>1389</v>
      </c>
      <c r="E1485" s="3" t="s">
        <v>1390</v>
      </c>
      <c r="F1485" t="e">
        <f>_xlfn.XLOOKUP(A1485,[1]邦达数据库!$A:$A,[1]邦达数据库!$C:$C)</f>
        <v>#N/A</v>
      </c>
    </row>
    <row r="1486" ht="30" customHeight="1" spans="1:6">
      <c r="A1486" s="4" t="s">
        <v>3232</v>
      </c>
      <c r="B1486" s="5" t="s">
        <v>3230</v>
      </c>
      <c r="C1486" s="5" t="s">
        <v>3231</v>
      </c>
      <c r="D1486" s="5" t="s">
        <v>1389</v>
      </c>
      <c r="E1486" s="5" t="s">
        <v>1390</v>
      </c>
      <c r="F1486" t="e">
        <f>_xlfn.XLOOKUP(A1486,[1]邦达数据库!$A:$A,[1]邦达数据库!$C:$C)</f>
        <v>#N/A</v>
      </c>
    </row>
    <row r="1487" ht="30" customHeight="1" spans="1:6">
      <c r="A1487" s="2" t="s">
        <v>3233</v>
      </c>
      <c r="B1487" s="3" t="s">
        <v>3230</v>
      </c>
      <c r="C1487" s="3" t="s">
        <v>3231</v>
      </c>
      <c r="D1487" s="3" t="s">
        <v>860</v>
      </c>
      <c r="E1487" s="3" t="s">
        <v>861</v>
      </c>
      <c r="F1487" t="e">
        <f>_xlfn.XLOOKUP(A1487,[1]邦达数据库!$A:$A,[1]邦达数据库!$C:$C)</f>
        <v>#N/A</v>
      </c>
    </row>
    <row r="1488" ht="30" customHeight="1" spans="1:6">
      <c r="A1488" s="4" t="s">
        <v>3234</v>
      </c>
      <c r="B1488" s="5" t="s">
        <v>3235</v>
      </c>
      <c r="C1488" s="5" t="s">
        <v>3236</v>
      </c>
      <c r="D1488" s="5" t="s">
        <v>996</v>
      </c>
      <c r="E1488" s="5" t="s">
        <v>997</v>
      </c>
      <c r="F1488" t="e">
        <f>_xlfn.XLOOKUP(A1488,[1]邦达数据库!$A:$A,[1]邦达数据库!$C:$C)</f>
        <v>#N/A</v>
      </c>
    </row>
    <row r="1489" ht="30" customHeight="1" spans="1:6">
      <c r="A1489" s="2" t="s">
        <v>3237</v>
      </c>
      <c r="B1489" s="3" t="s">
        <v>2791</v>
      </c>
      <c r="C1489" s="3" t="s">
        <v>2792</v>
      </c>
      <c r="D1489" s="3" t="s">
        <v>170</v>
      </c>
      <c r="E1489" s="3" t="s">
        <v>171</v>
      </c>
      <c r="F1489" t="e">
        <f>_xlfn.XLOOKUP(A1489,[1]邦达数据库!$A:$A,[1]邦达数据库!$C:$C)</f>
        <v>#N/A</v>
      </c>
    </row>
    <row r="1490" ht="30" customHeight="1" spans="1:6">
      <c r="A1490" s="4" t="s">
        <v>3238</v>
      </c>
      <c r="B1490" s="5" t="s">
        <v>2791</v>
      </c>
      <c r="C1490" s="5" t="s">
        <v>2792</v>
      </c>
      <c r="D1490" s="5" t="s">
        <v>170</v>
      </c>
      <c r="E1490" s="5" t="s">
        <v>171</v>
      </c>
      <c r="F1490" t="e">
        <f>_xlfn.XLOOKUP(A1490,[1]邦达数据库!$A:$A,[1]邦达数据库!$C:$C)</f>
        <v>#N/A</v>
      </c>
    </row>
    <row r="1491" ht="30" customHeight="1" spans="1:6">
      <c r="A1491" s="2" t="s">
        <v>3239</v>
      </c>
      <c r="B1491" s="3" t="s">
        <v>3240</v>
      </c>
      <c r="C1491" s="3" t="s">
        <v>3045</v>
      </c>
      <c r="D1491" s="3" t="s">
        <v>266</v>
      </c>
      <c r="E1491" s="3" t="s">
        <v>267</v>
      </c>
      <c r="F1491" t="e">
        <f>_xlfn.XLOOKUP(A1491,[1]邦达数据库!$A:$A,[1]邦达数据库!$C:$C)</f>
        <v>#N/A</v>
      </c>
    </row>
    <row r="1492" ht="30" customHeight="1" spans="1:6">
      <c r="A1492" s="4" t="s">
        <v>3241</v>
      </c>
      <c r="B1492" s="5" t="s">
        <v>3240</v>
      </c>
      <c r="C1492" s="5" t="s">
        <v>3045</v>
      </c>
      <c r="D1492" s="5" t="s">
        <v>266</v>
      </c>
      <c r="E1492" s="5" t="s">
        <v>267</v>
      </c>
      <c r="F1492" t="e">
        <f>_xlfn.XLOOKUP(A1492,[1]邦达数据库!$A:$A,[1]邦达数据库!$C:$C)</f>
        <v>#N/A</v>
      </c>
    </row>
    <row r="1493" ht="30" customHeight="1" spans="1:6">
      <c r="A1493" s="2" t="s">
        <v>3242</v>
      </c>
      <c r="B1493" s="3" t="s">
        <v>3243</v>
      </c>
      <c r="C1493" s="3" t="s">
        <v>17</v>
      </c>
      <c r="D1493" s="3" t="s">
        <v>1091</v>
      </c>
      <c r="E1493" s="3" t="s">
        <v>1092</v>
      </c>
      <c r="F1493" t="e">
        <f>_xlfn.XLOOKUP(A1493,[1]邦达数据库!$A:$A,[1]邦达数据库!$C:$C)</f>
        <v>#N/A</v>
      </c>
    </row>
    <row r="1494" ht="30" customHeight="1" spans="1:6">
      <c r="A1494" s="4" t="s">
        <v>3244</v>
      </c>
      <c r="B1494" s="5" t="s">
        <v>3243</v>
      </c>
      <c r="C1494" s="5" t="s">
        <v>17</v>
      </c>
      <c r="D1494" s="5" t="s">
        <v>3245</v>
      </c>
      <c r="E1494" s="5" t="s">
        <v>3246</v>
      </c>
      <c r="F1494" t="e">
        <f>_xlfn.XLOOKUP(A1494,[1]邦达数据库!$A:$A,[1]邦达数据库!$C:$C)</f>
        <v>#N/A</v>
      </c>
    </row>
    <row r="1495" ht="30" customHeight="1" spans="1:6">
      <c r="A1495" s="2" t="s">
        <v>3247</v>
      </c>
      <c r="B1495" s="3" t="s">
        <v>3248</v>
      </c>
      <c r="C1495" s="3" t="s">
        <v>3249</v>
      </c>
      <c r="D1495" s="3" t="s">
        <v>3250</v>
      </c>
      <c r="E1495" s="3" t="s">
        <v>3251</v>
      </c>
      <c r="F1495" t="e">
        <f>_xlfn.XLOOKUP(A1495,[1]邦达数据库!$A:$A,[1]邦达数据库!$C:$C)</f>
        <v>#N/A</v>
      </c>
    </row>
    <row r="1496" ht="30" customHeight="1" spans="1:6">
      <c r="A1496" s="4" t="s">
        <v>3252</v>
      </c>
      <c r="B1496" s="5" t="s">
        <v>3248</v>
      </c>
      <c r="C1496" s="5" t="s">
        <v>3249</v>
      </c>
      <c r="D1496" s="5" t="s">
        <v>3250</v>
      </c>
      <c r="E1496" s="5" t="s">
        <v>3251</v>
      </c>
      <c r="F1496" t="e">
        <f>_xlfn.XLOOKUP(A1496,[1]邦达数据库!$A:$A,[1]邦达数据库!$C:$C)</f>
        <v>#N/A</v>
      </c>
    </row>
    <row r="1497" ht="30" customHeight="1" spans="1:6">
      <c r="A1497" s="2" t="s">
        <v>3253</v>
      </c>
      <c r="B1497" s="3" t="s">
        <v>3248</v>
      </c>
      <c r="C1497" s="3" t="s">
        <v>3249</v>
      </c>
      <c r="D1497" s="3" t="s">
        <v>3254</v>
      </c>
      <c r="E1497" s="3" t="s">
        <v>3255</v>
      </c>
      <c r="F1497" t="e">
        <f>_xlfn.XLOOKUP(A1497,[1]邦达数据库!$A:$A,[1]邦达数据库!$C:$C)</f>
        <v>#N/A</v>
      </c>
    </row>
    <row r="1498" ht="30" customHeight="1" spans="1:6">
      <c r="A1498" s="4" t="s">
        <v>3256</v>
      </c>
      <c r="B1498" s="5" t="s">
        <v>3248</v>
      </c>
      <c r="C1498" s="5" t="s">
        <v>3249</v>
      </c>
      <c r="D1498" s="5" t="s">
        <v>3250</v>
      </c>
      <c r="E1498" s="5" t="s">
        <v>3251</v>
      </c>
      <c r="F1498" t="e">
        <f>_xlfn.XLOOKUP(A1498,[1]邦达数据库!$A:$A,[1]邦达数据库!$C:$C)</f>
        <v>#N/A</v>
      </c>
    </row>
    <row r="1499" ht="30" customHeight="1" spans="1:6">
      <c r="A1499" s="2" t="s">
        <v>3257</v>
      </c>
      <c r="B1499" s="3" t="s">
        <v>3248</v>
      </c>
      <c r="C1499" s="3" t="s">
        <v>3249</v>
      </c>
      <c r="D1499" s="3" t="s">
        <v>1227</v>
      </c>
      <c r="E1499" s="3" t="s">
        <v>1228</v>
      </c>
      <c r="F1499" t="e">
        <f>_xlfn.XLOOKUP(A1499,[1]邦达数据库!$A:$A,[1]邦达数据库!$C:$C)</f>
        <v>#N/A</v>
      </c>
    </row>
    <row r="1500" ht="30" customHeight="1" spans="1:6">
      <c r="A1500" s="4" t="s">
        <v>3258</v>
      </c>
      <c r="B1500" s="5" t="s">
        <v>3248</v>
      </c>
      <c r="C1500" s="5" t="s">
        <v>3249</v>
      </c>
      <c r="D1500" s="5" t="s">
        <v>3250</v>
      </c>
      <c r="E1500" s="5" t="s">
        <v>3251</v>
      </c>
      <c r="F1500" t="e">
        <f>_xlfn.XLOOKUP(A1500,[1]邦达数据库!$A:$A,[1]邦达数据库!$C:$C)</f>
        <v>#N/A</v>
      </c>
    </row>
    <row r="1501" ht="30" customHeight="1" spans="1:6">
      <c r="A1501" s="2" t="s">
        <v>3259</v>
      </c>
      <c r="B1501" s="3" t="s">
        <v>3248</v>
      </c>
      <c r="C1501" s="3" t="s">
        <v>3249</v>
      </c>
      <c r="D1501" s="3" t="s">
        <v>3260</v>
      </c>
      <c r="E1501" s="3" t="s">
        <v>3261</v>
      </c>
      <c r="F1501" t="e">
        <f>_xlfn.XLOOKUP(A1501,[1]邦达数据库!$A:$A,[1]邦达数据库!$C:$C)</f>
        <v>#N/A</v>
      </c>
    </row>
    <row r="1502" ht="30" customHeight="1" spans="1:6">
      <c r="A1502" s="4" t="s">
        <v>3262</v>
      </c>
      <c r="B1502" s="5" t="s">
        <v>3248</v>
      </c>
      <c r="C1502" s="5" t="s">
        <v>3249</v>
      </c>
      <c r="D1502" s="5" t="s">
        <v>460</v>
      </c>
      <c r="E1502" s="5" t="s">
        <v>461</v>
      </c>
      <c r="F1502" t="e">
        <f>_xlfn.XLOOKUP(A1502,[1]邦达数据库!$A:$A,[1]邦达数据库!$C:$C)</f>
        <v>#N/A</v>
      </c>
    </row>
    <row r="1503" ht="30" customHeight="1" spans="1:6">
      <c r="A1503" s="2" t="s">
        <v>3263</v>
      </c>
      <c r="B1503" s="3" t="s">
        <v>3248</v>
      </c>
      <c r="C1503" s="3" t="s">
        <v>3249</v>
      </c>
      <c r="D1503" s="3" t="s">
        <v>3250</v>
      </c>
      <c r="E1503" s="3" t="s">
        <v>3251</v>
      </c>
      <c r="F1503" t="e">
        <f>_xlfn.XLOOKUP(A1503,[1]邦达数据库!$A:$A,[1]邦达数据库!$C:$C)</f>
        <v>#N/A</v>
      </c>
    </row>
    <row r="1504" ht="30" customHeight="1" spans="1:6">
      <c r="A1504" s="4" t="s">
        <v>3264</v>
      </c>
      <c r="B1504" s="5" t="s">
        <v>3248</v>
      </c>
      <c r="C1504" s="5" t="s">
        <v>3249</v>
      </c>
      <c r="D1504" s="5" t="s">
        <v>3250</v>
      </c>
      <c r="E1504" s="5" t="s">
        <v>3251</v>
      </c>
      <c r="F1504" t="e">
        <f>_xlfn.XLOOKUP(A1504,[1]邦达数据库!$A:$A,[1]邦达数据库!$C:$C)</f>
        <v>#N/A</v>
      </c>
    </row>
    <row r="1505" ht="30" customHeight="1" spans="1:6">
      <c r="A1505" s="2" t="s">
        <v>3265</v>
      </c>
      <c r="B1505" s="3" t="s">
        <v>3248</v>
      </c>
      <c r="C1505" s="3" t="s">
        <v>3249</v>
      </c>
      <c r="D1505" s="3" t="s">
        <v>3260</v>
      </c>
      <c r="E1505" s="3" t="s">
        <v>3261</v>
      </c>
      <c r="F1505" t="e">
        <f>_xlfn.XLOOKUP(A1505,[1]邦达数据库!$A:$A,[1]邦达数据库!$C:$C)</f>
        <v>#N/A</v>
      </c>
    </row>
    <row r="1506" ht="30" customHeight="1" spans="1:6">
      <c r="A1506" s="4" t="s">
        <v>3266</v>
      </c>
      <c r="B1506" s="5" t="s">
        <v>3248</v>
      </c>
      <c r="C1506" s="5" t="s">
        <v>3249</v>
      </c>
      <c r="D1506" s="5" t="s">
        <v>3260</v>
      </c>
      <c r="E1506" s="5" t="s">
        <v>3261</v>
      </c>
      <c r="F1506" t="e">
        <f>_xlfn.XLOOKUP(A1506,[1]邦达数据库!$A:$A,[1]邦达数据库!$C:$C)</f>
        <v>#N/A</v>
      </c>
    </row>
    <row r="1507" ht="30" customHeight="1" spans="1:6">
      <c r="A1507" s="2" t="s">
        <v>3267</v>
      </c>
      <c r="B1507" s="3" t="s">
        <v>3248</v>
      </c>
      <c r="C1507" s="3" t="s">
        <v>3249</v>
      </c>
      <c r="D1507" s="3" t="s">
        <v>3260</v>
      </c>
      <c r="E1507" s="3" t="s">
        <v>3261</v>
      </c>
      <c r="F1507" t="e">
        <f>_xlfn.XLOOKUP(A1507,[1]邦达数据库!$A:$A,[1]邦达数据库!$C:$C)</f>
        <v>#N/A</v>
      </c>
    </row>
    <row r="1508" ht="30" customHeight="1" spans="1:6">
      <c r="A1508" s="4" t="s">
        <v>3268</v>
      </c>
      <c r="B1508" s="5" t="s">
        <v>3248</v>
      </c>
      <c r="C1508" s="5" t="s">
        <v>3249</v>
      </c>
      <c r="D1508" s="5" t="s">
        <v>3269</v>
      </c>
      <c r="E1508" s="5" t="s">
        <v>3270</v>
      </c>
      <c r="F1508" t="e">
        <f>_xlfn.XLOOKUP(A1508,[1]邦达数据库!$A:$A,[1]邦达数据库!$C:$C)</f>
        <v>#N/A</v>
      </c>
    </row>
    <row r="1509" ht="30" customHeight="1" spans="1:6">
      <c r="A1509" s="2" t="s">
        <v>3271</v>
      </c>
      <c r="B1509" s="3" t="s">
        <v>2458</v>
      </c>
      <c r="C1509" s="3" t="s">
        <v>1464</v>
      </c>
      <c r="D1509" s="3" t="s">
        <v>3272</v>
      </c>
      <c r="E1509" s="3" t="s">
        <v>3273</v>
      </c>
      <c r="F1509" t="e">
        <f>_xlfn.XLOOKUP(A1509,[1]邦达数据库!$A:$A,[1]邦达数据库!$C:$C)</f>
        <v>#N/A</v>
      </c>
    </row>
    <row r="1510" ht="30" customHeight="1" spans="1:6">
      <c r="A1510" s="4" t="s">
        <v>3274</v>
      </c>
      <c r="B1510" s="5" t="s">
        <v>3275</v>
      </c>
      <c r="C1510" s="5" t="s">
        <v>427</v>
      </c>
      <c r="D1510" s="5" t="s">
        <v>1356</v>
      </c>
      <c r="E1510" s="5" t="s">
        <v>1357</v>
      </c>
      <c r="F1510" t="e">
        <f>_xlfn.XLOOKUP(A1510,[1]邦达数据库!$A:$A,[1]邦达数据库!$C:$C)</f>
        <v>#N/A</v>
      </c>
    </row>
    <row r="1511" ht="30" customHeight="1" spans="1:6">
      <c r="A1511" s="2" t="s">
        <v>3276</v>
      </c>
      <c r="B1511" s="3" t="s">
        <v>3275</v>
      </c>
      <c r="C1511" s="3" t="s">
        <v>427</v>
      </c>
      <c r="D1511" s="3" t="s">
        <v>2885</v>
      </c>
      <c r="E1511" s="3" t="s">
        <v>2886</v>
      </c>
      <c r="F1511" t="e">
        <f>_xlfn.XLOOKUP(A1511,[1]邦达数据库!$A:$A,[1]邦达数据库!$C:$C)</f>
        <v>#N/A</v>
      </c>
    </row>
    <row r="1512" ht="30" customHeight="1" spans="1:6">
      <c r="A1512" s="4" t="s">
        <v>3277</v>
      </c>
      <c r="B1512" s="5" t="s">
        <v>3278</v>
      </c>
      <c r="C1512" s="5" t="s">
        <v>3279</v>
      </c>
      <c r="D1512" s="5" t="s">
        <v>3280</v>
      </c>
      <c r="E1512" s="5" t="s">
        <v>3281</v>
      </c>
      <c r="F1512" t="e">
        <f>_xlfn.XLOOKUP(A1512,[1]邦达数据库!$A:$A,[1]邦达数据库!$C:$C)</f>
        <v>#N/A</v>
      </c>
    </row>
    <row r="1513" ht="30" customHeight="1" spans="1:6">
      <c r="A1513" s="2" t="s">
        <v>3282</v>
      </c>
      <c r="B1513" s="3" t="s">
        <v>215</v>
      </c>
      <c r="C1513" s="3" t="s">
        <v>216</v>
      </c>
      <c r="D1513" s="3" t="s">
        <v>1528</v>
      </c>
      <c r="E1513" s="3" t="s">
        <v>1529</v>
      </c>
      <c r="F1513" t="e">
        <f>_xlfn.XLOOKUP(A1513,[1]邦达数据库!$A:$A,[1]邦达数据库!$C:$C)</f>
        <v>#N/A</v>
      </c>
    </row>
    <row r="1514" ht="30" customHeight="1" spans="1:6">
      <c r="A1514" s="4" t="s">
        <v>3283</v>
      </c>
      <c r="B1514" s="5" t="s">
        <v>3230</v>
      </c>
      <c r="C1514" s="5" t="s">
        <v>3231</v>
      </c>
      <c r="D1514" s="5" t="s">
        <v>860</v>
      </c>
      <c r="E1514" s="5" t="s">
        <v>861</v>
      </c>
      <c r="F1514" t="e">
        <f>_xlfn.XLOOKUP(A1514,[1]邦达数据库!$A:$A,[1]邦达数据库!$C:$C)</f>
        <v>#N/A</v>
      </c>
    </row>
    <row r="1515" ht="30" customHeight="1" spans="1:6">
      <c r="A1515" s="2" t="s">
        <v>3284</v>
      </c>
      <c r="B1515" s="3" t="s">
        <v>3285</v>
      </c>
      <c r="C1515" s="3" t="s">
        <v>3286</v>
      </c>
      <c r="D1515" s="3" t="s">
        <v>280</v>
      </c>
      <c r="E1515" s="3" t="s">
        <v>281</v>
      </c>
      <c r="F1515" t="e">
        <f>_xlfn.XLOOKUP(A1515,[1]邦达数据库!$A:$A,[1]邦达数据库!$C:$C)</f>
        <v>#N/A</v>
      </c>
    </row>
    <row r="1516" ht="30" customHeight="1" spans="1:6">
      <c r="A1516" s="4" t="s">
        <v>3287</v>
      </c>
      <c r="B1516" s="5" t="s">
        <v>3285</v>
      </c>
      <c r="C1516" s="5" t="s">
        <v>3286</v>
      </c>
      <c r="D1516" s="5" t="s">
        <v>280</v>
      </c>
      <c r="E1516" s="5" t="s">
        <v>281</v>
      </c>
      <c r="F1516" t="e">
        <f>_xlfn.XLOOKUP(A1516,[1]邦达数据库!$A:$A,[1]邦达数据库!$C:$C)</f>
        <v>#N/A</v>
      </c>
    </row>
    <row r="1517" ht="30" customHeight="1" spans="1:6">
      <c r="A1517" s="2" t="s">
        <v>3288</v>
      </c>
      <c r="B1517" s="3" t="s">
        <v>3289</v>
      </c>
      <c r="C1517" s="3" t="s">
        <v>1467</v>
      </c>
      <c r="D1517" s="3" t="s">
        <v>3290</v>
      </c>
      <c r="E1517" s="3" t="s">
        <v>3291</v>
      </c>
      <c r="F1517" t="e">
        <f>_xlfn.XLOOKUP(A1517,[1]邦达数据库!$A:$A,[1]邦达数据库!$C:$C)</f>
        <v>#N/A</v>
      </c>
    </row>
    <row r="1518" ht="30" customHeight="1" spans="1:6">
      <c r="A1518" s="4" t="s">
        <v>3292</v>
      </c>
      <c r="B1518" s="5" t="s">
        <v>3289</v>
      </c>
      <c r="C1518" s="5" t="s">
        <v>1467</v>
      </c>
      <c r="D1518" s="5" t="s">
        <v>3293</v>
      </c>
      <c r="E1518" s="5" t="s">
        <v>3294</v>
      </c>
      <c r="F1518" t="e">
        <f>_xlfn.XLOOKUP(A1518,[1]邦达数据库!$A:$A,[1]邦达数据库!$C:$C)</f>
        <v>#N/A</v>
      </c>
    </row>
    <row r="1519" ht="30" customHeight="1" spans="1:6">
      <c r="A1519" s="2" t="s">
        <v>3295</v>
      </c>
      <c r="B1519" s="3" t="s">
        <v>3230</v>
      </c>
      <c r="C1519" s="3" t="s">
        <v>3231</v>
      </c>
      <c r="D1519" s="3" t="s">
        <v>3296</v>
      </c>
      <c r="E1519" s="3" t="s">
        <v>3297</v>
      </c>
      <c r="F1519" t="e">
        <f>_xlfn.XLOOKUP(A1519,[1]邦达数据库!$A:$A,[1]邦达数据库!$C:$C)</f>
        <v>#N/A</v>
      </c>
    </row>
    <row r="1520" ht="30" customHeight="1" spans="1:6">
      <c r="A1520" s="4" t="s">
        <v>3298</v>
      </c>
      <c r="B1520" s="5" t="s">
        <v>3230</v>
      </c>
      <c r="C1520" s="5" t="s">
        <v>3231</v>
      </c>
      <c r="D1520" s="5" t="s">
        <v>860</v>
      </c>
      <c r="E1520" s="5" t="s">
        <v>861</v>
      </c>
      <c r="F1520" t="e">
        <f>_xlfn.XLOOKUP(A1520,[1]邦达数据库!$A:$A,[1]邦达数据库!$C:$C)</f>
        <v>#N/A</v>
      </c>
    </row>
    <row r="1521" ht="30" customHeight="1" spans="1:6">
      <c r="A1521" s="2" t="s">
        <v>3299</v>
      </c>
      <c r="B1521" s="3" t="s">
        <v>3300</v>
      </c>
      <c r="C1521" s="3" t="s">
        <v>459</v>
      </c>
      <c r="D1521" s="3" t="s">
        <v>3301</v>
      </c>
      <c r="E1521" s="3" t="s">
        <v>3302</v>
      </c>
      <c r="F1521" t="e">
        <f>_xlfn.XLOOKUP(A1521,[1]邦达数据库!$A:$A,[1]邦达数据库!$C:$C)</f>
        <v>#N/A</v>
      </c>
    </row>
    <row r="1522" ht="30" customHeight="1" spans="1:6">
      <c r="A1522" s="4" t="s">
        <v>3303</v>
      </c>
      <c r="B1522" s="5" t="s">
        <v>3304</v>
      </c>
      <c r="C1522" s="5" t="s">
        <v>443</v>
      </c>
      <c r="D1522" s="5" t="s">
        <v>223</v>
      </c>
      <c r="E1522" s="5" t="s">
        <v>224</v>
      </c>
      <c r="F1522" t="e">
        <f>_xlfn.XLOOKUP(A1522,[1]邦达数据库!$A:$A,[1]邦达数据库!$C:$C)</f>
        <v>#N/A</v>
      </c>
    </row>
    <row r="1523" ht="30" customHeight="1" spans="1:6">
      <c r="A1523" s="2" t="s">
        <v>3305</v>
      </c>
      <c r="B1523" s="3" t="s">
        <v>3306</v>
      </c>
      <c r="C1523" s="3" t="s">
        <v>3236</v>
      </c>
      <c r="D1523" s="3" t="s">
        <v>794</v>
      </c>
      <c r="E1523" s="3" t="s">
        <v>795</v>
      </c>
      <c r="F1523" t="e">
        <f>_xlfn.XLOOKUP(A1523,[1]邦达数据库!$A:$A,[1]邦达数据库!$C:$C)</f>
        <v>#N/A</v>
      </c>
    </row>
    <row r="1524" ht="30" customHeight="1" spans="1:6">
      <c r="A1524" s="4" t="s">
        <v>3307</v>
      </c>
      <c r="B1524" s="5" t="s">
        <v>2322</v>
      </c>
      <c r="C1524" s="5" t="s">
        <v>17</v>
      </c>
      <c r="D1524" s="5" t="s">
        <v>223</v>
      </c>
      <c r="E1524" s="5" t="s">
        <v>224</v>
      </c>
      <c r="F1524" t="e">
        <f>_xlfn.XLOOKUP(A1524,[1]邦达数据库!$A:$A,[1]邦达数据库!$C:$C)</f>
        <v>#N/A</v>
      </c>
    </row>
    <row r="1525" ht="30" customHeight="1" spans="1:6">
      <c r="A1525" s="2" t="s">
        <v>3308</v>
      </c>
      <c r="B1525" s="3" t="s">
        <v>2322</v>
      </c>
      <c r="C1525" s="3" t="s">
        <v>17</v>
      </c>
      <c r="D1525" s="3" t="s">
        <v>3159</v>
      </c>
      <c r="E1525" s="3" t="s">
        <v>3160</v>
      </c>
      <c r="F1525" t="e">
        <f>_xlfn.XLOOKUP(A1525,[1]邦达数据库!$A:$A,[1]邦达数据库!$C:$C)</f>
        <v>#N/A</v>
      </c>
    </row>
    <row r="1526" ht="30" customHeight="1" spans="1:6">
      <c r="A1526" s="4" t="s">
        <v>3309</v>
      </c>
      <c r="B1526" s="5" t="s">
        <v>2322</v>
      </c>
      <c r="C1526" s="5" t="s">
        <v>17</v>
      </c>
      <c r="D1526" s="5" t="s">
        <v>223</v>
      </c>
      <c r="E1526" s="5" t="s">
        <v>224</v>
      </c>
      <c r="F1526" t="e">
        <f>_xlfn.XLOOKUP(A1526,[1]邦达数据库!$A:$A,[1]邦达数据库!$C:$C)</f>
        <v>#N/A</v>
      </c>
    </row>
    <row r="1527" ht="30" customHeight="1" spans="1:6">
      <c r="A1527" s="2" t="s">
        <v>3310</v>
      </c>
      <c r="B1527" s="3" t="s">
        <v>2322</v>
      </c>
      <c r="C1527" s="3" t="s">
        <v>17</v>
      </c>
      <c r="D1527" s="3" t="s">
        <v>604</v>
      </c>
      <c r="E1527" s="3" t="s">
        <v>605</v>
      </c>
      <c r="F1527" t="e">
        <f>_xlfn.XLOOKUP(A1527,[1]邦达数据库!$A:$A,[1]邦达数据库!$C:$C)</f>
        <v>#N/A</v>
      </c>
    </row>
    <row r="1528" ht="30" customHeight="1" spans="1:6">
      <c r="A1528" s="4" t="s">
        <v>3311</v>
      </c>
      <c r="B1528" s="5" t="s">
        <v>3312</v>
      </c>
      <c r="C1528" s="5" t="s">
        <v>3313</v>
      </c>
      <c r="D1528" s="5" t="s">
        <v>1285</v>
      </c>
      <c r="E1528" s="5" t="s">
        <v>1286</v>
      </c>
      <c r="F1528" t="e">
        <f>_xlfn.XLOOKUP(A1528,[1]邦达数据库!$A:$A,[1]邦达数据库!$C:$C)</f>
        <v>#N/A</v>
      </c>
    </row>
    <row r="1529" ht="30" customHeight="1" spans="1:6">
      <c r="A1529" s="2" t="s">
        <v>3314</v>
      </c>
      <c r="B1529" s="3" t="s">
        <v>3312</v>
      </c>
      <c r="C1529" s="3" t="s">
        <v>3313</v>
      </c>
      <c r="D1529" s="3" t="s">
        <v>1285</v>
      </c>
      <c r="E1529" s="3" t="s">
        <v>1286</v>
      </c>
      <c r="F1529" t="e">
        <f>_xlfn.XLOOKUP(A1529,[1]邦达数据库!$A:$A,[1]邦达数据库!$C:$C)</f>
        <v>#N/A</v>
      </c>
    </row>
    <row r="1530" ht="30" customHeight="1" spans="1:6">
      <c r="A1530" s="4" t="s">
        <v>3315</v>
      </c>
      <c r="B1530" s="5" t="s">
        <v>3312</v>
      </c>
      <c r="C1530" s="5" t="s">
        <v>3313</v>
      </c>
      <c r="D1530" s="5" t="s">
        <v>1285</v>
      </c>
      <c r="E1530" s="5" t="s">
        <v>1286</v>
      </c>
      <c r="F1530" t="e">
        <f>_xlfn.XLOOKUP(A1530,[1]邦达数据库!$A:$A,[1]邦达数据库!$C:$C)</f>
        <v>#N/A</v>
      </c>
    </row>
    <row r="1531" ht="30" customHeight="1" spans="1:6">
      <c r="A1531" s="2" t="s">
        <v>3316</v>
      </c>
      <c r="B1531" s="3" t="s">
        <v>3312</v>
      </c>
      <c r="C1531" s="3" t="s">
        <v>3313</v>
      </c>
      <c r="D1531" s="3" t="s">
        <v>33</v>
      </c>
      <c r="E1531" s="3" t="s">
        <v>34</v>
      </c>
      <c r="F1531" t="e">
        <f>_xlfn.XLOOKUP(A1531,[1]邦达数据库!$A:$A,[1]邦达数据库!$C:$C)</f>
        <v>#N/A</v>
      </c>
    </row>
    <row r="1532" ht="30" customHeight="1" spans="1:6">
      <c r="A1532" s="4" t="s">
        <v>3317</v>
      </c>
      <c r="B1532" s="5" t="s">
        <v>3318</v>
      </c>
      <c r="C1532" s="5" t="s">
        <v>3319</v>
      </c>
      <c r="D1532" s="5" t="s">
        <v>568</v>
      </c>
      <c r="E1532" s="5" t="s">
        <v>569</v>
      </c>
      <c r="F1532" t="e">
        <f>_xlfn.XLOOKUP(A1532,[1]邦达数据库!$A:$A,[1]邦达数据库!$C:$C)</f>
        <v>#N/A</v>
      </c>
    </row>
    <row r="1533" ht="30" customHeight="1" spans="1:6">
      <c r="A1533" s="2" t="s">
        <v>3320</v>
      </c>
      <c r="B1533" s="3" t="s">
        <v>3321</v>
      </c>
      <c r="C1533" s="3" t="s">
        <v>340</v>
      </c>
      <c r="D1533" s="3" t="s">
        <v>404</v>
      </c>
      <c r="E1533" s="3" t="s">
        <v>405</v>
      </c>
      <c r="F1533" t="str">
        <f>_xlfn.XLOOKUP(A1533,[1]邦达数据库!$A:$A,[1]邦达数据库!$C:$C)</f>
        <v>8204.20.0000</v>
      </c>
    </row>
    <row r="1534" ht="30" customHeight="1" spans="1:6">
      <c r="A1534" s="4" t="s">
        <v>3322</v>
      </c>
      <c r="B1534" s="5" t="s">
        <v>3321</v>
      </c>
      <c r="C1534" s="5" t="s">
        <v>340</v>
      </c>
      <c r="D1534" s="5" t="s">
        <v>1655</v>
      </c>
      <c r="E1534" s="5" t="s">
        <v>1656</v>
      </c>
      <c r="F1534" t="str">
        <f>_xlfn.XLOOKUP(A1534,[1]邦达数据库!$A:$A,[1]邦达数据库!$C:$C)</f>
        <v>7326.90.9890</v>
      </c>
    </row>
    <row r="1535" ht="30" customHeight="1" spans="1:6">
      <c r="A1535" s="2" t="s">
        <v>3323</v>
      </c>
      <c r="B1535" s="3" t="s">
        <v>3324</v>
      </c>
      <c r="C1535" s="3" t="s">
        <v>459</v>
      </c>
      <c r="D1535" s="3" t="s">
        <v>887</v>
      </c>
      <c r="E1535" s="3" t="s">
        <v>888</v>
      </c>
      <c r="F1535" t="e">
        <f>_xlfn.XLOOKUP(A1535,[1]邦达数据库!$A:$A,[1]邦达数据库!$C:$C)</f>
        <v>#N/A</v>
      </c>
    </row>
    <row r="1536" ht="30" customHeight="1" spans="1:6">
      <c r="A1536" s="4" t="s">
        <v>3325</v>
      </c>
      <c r="B1536" s="5" t="s">
        <v>3326</v>
      </c>
      <c r="C1536" s="5" t="s">
        <v>3327</v>
      </c>
      <c r="D1536" s="5" t="s">
        <v>3328</v>
      </c>
      <c r="E1536" s="5" t="s">
        <v>3329</v>
      </c>
      <c r="F1536" t="e">
        <f>_xlfn.XLOOKUP(A1536,[1]邦达数据库!$A:$A,[1]邦达数据库!$C:$C)</f>
        <v>#N/A</v>
      </c>
    </row>
    <row r="1537" ht="30" customHeight="1" spans="1:6">
      <c r="A1537" s="4" t="s">
        <v>3330</v>
      </c>
      <c r="B1537" s="5" t="s">
        <v>3331</v>
      </c>
      <c r="C1537" s="5" t="s">
        <v>3332</v>
      </c>
      <c r="D1537" s="5" t="s">
        <v>1474</v>
      </c>
      <c r="E1537" s="5" t="s">
        <v>1475</v>
      </c>
      <c r="F1537" t="e">
        <f>_xlfn.XLOOKUP(A1537,[1]邦达数据库!$A:$A,[1]邦达数据库!$C:$C)</f>
        <v>#N/A</v>
      </c>
    </row>
    <row r="1538" ht="30" customHeight="1" spans="1:6">
      <c r="A1538" s="2" t="s">
        <v>3333</v>
      </c>
      <c r="B1538" s="3" t="s">
        <v>3334</v>
      </c>
      <c r="C1538" s="3" t="s">
        <v>17</v>
      </c>
      <c r="D1538" s="3" t="s">
        <v>2397</v>
      </c>
      <c r="E1538" s="3" t="s">
        <v>2398</v>
      </c>
      <c r="F1538" t="e">
        <f>_xlfn.XLOOKUP(A1538,[1]邦达数据库!$A:$A,[1]邦达数据库!$C:$C)</f>
        <v>#N/A</v>
      </c>
    </row>
    <row r="1539" ht="30" customHeight="1" spans="1:6">
      <c r="A1539" s="4" t="s">
        <v>3335</v>
      </c>
      <c r="B1539" s="5" t="s">
        <v>3334</v>
      </c>
      <c r="C1539" s="5" t="s">
        <v>17</v>
      </c>
      <c r="D1539" s="5" t="s">
        <v>2397</v>
      </c>
      <c r="E1539" s="5" t="s">
        <v>2398</v>
      </c>
      <c r="F1539" t="e">
        <f>_xlfn.XLOOKUP(A1539,[1]邦达数据库!$A:$A,[1]邦达数据库!$C:$C)</f>
        <v>#N/A</v>
      </c>
    </row>
    <row r="1540" ht="30" customHeight="1" spans="1:6">
      <c r="A1540" s="2" t="s">
        <v>3336</v>
      </c>
      <c r="B1540" s="3" t="s">
        <v>3334</v>
      </c>
      <c r="C1540" s="3" t="s">
        <v>17</v>
      </c>
      <c r="D1540" s="3" t="s">
        <v>2397</v>
      </c>
      <c r="E1540" s="3" t="s">
        <v>2398</v>
      </c>
      <c r="F1540" t="e">
        <f>_xlfn.XLOOKUP(A1540,[1]邦达数据库!$A:$A,[1]邦达数据库!$C:$C)</f>
        <v>#N/A</v>
      </c>
    </row>
    <row r="1541" ht="30" customHeight="1" spans="1:6">
      <c r="A1541" s="4" t="s">
        <v>3337</v>
      </c>
      <c r="B1541" s="5" t="s">
        <v>3334</v>
      </c>
      <c r="C1541" s="5" t="s">
        <v>17</v>
      </c>
      <c r="D1541" s="5" t="s">
        <v>711</v>
      </c>
      <c r="E1541" s="5" t="s">
        <v>712</v>
      </c>
      <c r="F1541" t="e">
        <f>_xlfn.XLOOKUP(A1541,[1]邦达数据库!$A:$A,[1]邦达数据库!$C:$C)</f>
        <v>#N/A</v>
      </c>
    </row>
    <row r="1542" ht="30" customHeight="1" spans="1:6">
      <c r="A1542" s="2" t="s">
        <v>3338</v>
      </c>
      <c r="B1542" s="3" t="s">
        <v>3339</v>
      </c>
      <c r="C1542" s="3" t="s">
        <v>811</v>
      </c>
      <c r="D1542" s="3" t="s">
        <v>2928</v>
      </c>
      <c r="E1542" s="3" t="s">
        <v>2929</v>
      </c>
      <c r="F1542" t="e">
        <f>_xlfn.XLOOKUP(A1542,[1]邦达数据库!$A:$A,[1]邦达数据库!$C:$C)</f>
        <v>#N/A</v>
      </c>
    </row>
    <row r="1543" ht="30" customHeight="1" spans="1:6">
      <c r="A1543" s="4" t="s">
        <v>3340</v>
      </c>
      <c r="B1543" s="5" t="s">
        <v>3341</v>
      </c>
      <c r="C1543" s="5" t="s">
        <v>811</v>
      </c>
      <c r="D1543" s="5" t="s">
        <v>117</v>
      </c>
      <c r="E1543" s="5" t="s">
        <v>118</v>
      </c>
      <c r="F1543" t="e">
        <f>_xlfn.XLOOKUP(A1543,[1]邦达数据库!$A:$A,[1]邦达数据库!$C:$C)</f>
        <v>#N/A</v>
      </c>
    </row>
    <row r="1544" ht="30" customHeight="1" spans="1:6">
      <c r="A1544" s="2" t="s">
        <v>3342</v>
      </c>
      <c r="B1544" s="3" t="s">
        <v>3341</v>
      </c>
      <c r="C1544" s="3" t="s">
        <v>811</v>
      </c>
      <c r="D1544" s="3" t="s">
        <v>3343</v>
      </c>
      <c r="E1544" s="3" t="s">
        <v>3344</v>
      </c>
      <c r="F1544" t="e">
        <f>_xlfn.XLOOKUP(A1544,[1]邦达数据库!$A:$A,[1]邦达数据库!$C:$C)</f>
        <v>#N/A</v>
      </c>
    </row>
    <row r="1545" ht="30" customHeight="1" spans="1:6">
      <c r="A1545" s="4" t="s">
        <v>3345</v>
      </c>
      <c r="B1545" s="5" t="s">
        <v>3341</v>
      </c>
      <c r="C1545" s="5" t="s">
        <v>811</v>
      </c>
      <c r="D1545" s="5" t="s">
        <v>117</v>
      </c>
      <c r="E1545" s="5" t="s">
        <v>118</v>
      </c>
      <c r="F1545" t="e">
        <f>_xlfn.XLOOKUP(A1545,[1]邦达数据库!$A:$A,[1]邦达数据库!$C:$C)</f>
        <v>#N/A</v>
      </c>
    </row>
    <row r="1546" ht="30" customHeight="1" spans="1:6">
      <c r="A1546" s="2" t="s">
        <v>3346</v>
      </c>
      <c r="B1546" s="3" t="s">
        <v>3347</v>
      </c>
      <c r="C1546" s="3" t="s">
        <v>811</v>
      </c>
      <c r="D1546" s="3" t="s">
        <v>1745</v>
      </c>
      <c r="E1546" s="3" t="s">
        <v>1746</v>
      </c>
      <c r="F1546" t="e">
        <f>_xlfn.XLOOKUP(A1546,[1]邦达数据库!$A:$A,[1]邦达数据库!$C:$C)</f>
        <v>#N/A</v>
      </c>
    </row>
    <row r="1547" ht="30" customHeight="1" spans="1:6">
      <c r="A1547" s="4" t="s">
        <v>3348</v>
      </c>
      <c r="B1547" s="5" t="s">
        <v>3341</v>
      </c>
      <c r="C1547" s="5" t="s">
        <v>811</v>
      </c>
      <c r="D1547" s="5" t="s">
        <v>3349</v>
      </c>
      <c r="E1547" s="5" t="s">
        <v>3350</v>
      </c>
      <c r="F1547" t="e">
        <f>_xlfn.XLOOKUP(A1547,[1]邦达数据库!$A:$A,[1]邦达数据库!$C:$C)</f>
        <v>#N/A</v>
      </c>
    </row>
    <row r="1548" ht="30" customHeight="1" spans="1:6">
      <c r="A1548" s="2" t="s">
        <v>3351</v>
      </c>
      <c r="B1548" s="3" t="s">
        <v>3352</v>
      </c>
      <c r="C1548" s="3" t="s">
        <v>3353</v>
      </c>
      <c r="D1548" s="3" t="s">
        <v>223</v>
      </c>
      <c r="E1548" s="3" t="s">
        <v>224</v>
      </c>
      <c r="F1548" t="e">
        <f>_xlfn.XLOOKUP(A1548,[1]邦达数据库!$A:$A,[1]邦达数据库!$C:$C)</f>
        <v>#N/A</v>
      </c>
    </row>
    <row r="1549" ht="30" customHeight="1" spans="1:6">
      <c r="A1549" s="2" t="s">
        <v>3354</v>
      </c>
      <c r="B1549" s="3" t="s">
        <v>3051</v>
      </c>
      <c r="C1549" s="3" t="s">
        <v>3355</v>
      </c>
      <c r="D1549" s="3" t="s">
        <v>3356</v>
      </c>
      <c r="E1549" s="3" t="s">
        <v>3357</v>
      </c>
      <c r="F1549" t="e">
        <f>_xlfn.XLOOKUP(A1549,[1]邦达数据库!$A:$A,[1]邦达数据库!$C:$C)</f>
        <v>#N/A</v>
      </c>
    </row>
    <row r="1550" ht="30" customHeight="1" spans="1:6">
      <c r="A1550" s="4" t="s">
        <v>3358</v>
      </c>
      <c r="B1550" s="5" t="s">
        <v>3359</v>
      </c>
      <c r="C1550" s="5" t="s">
        <v>1065</v>
      </c>
      <c r="D1550" s="5" t="s">
        <v>64</v>
      </c>
      <c r="E1550" s="5" t="s">
        <v>65</v>
      </c>
      <c r="F1550" t="e">
        <f>_xlfn.XLOOKUP(A1550,[1]邦达数据库!$A:$A,[1]邦达数据库!$C:$C)</f>
        <v>#N/A</v>
      </c>
    </row>
    <row r="1551" ht="30" customHeight="1" spans="1:6">
      <c r="A1551" s="2" t="s">
        <v>3360</v>
      </c>
      <c r="B1551" s="3" t="s">
        <v>3359</v>
      </c>
      <c r="C1551" s="3" t="s">
        <v>1065</v>
      </c>
      <c r="D1551" s="3" t="s">
        <v>1206</v>
      </c>
      <c r="E1551" s="3" t="s">
        <v>1207</v>
      </c>
      <c r="F1551" t="e">
        <f>_xlfn.XLOOKUP(A1551,[1]邦达数据库!$A:$A,[1]邦达数据库!$C:$C)</f>
        <v>#N/A</v>
      </c>
    </row>
    <row r="1552" ht="30" customHeight="1" spans="1:6">
      <c r="A1552" s="4" t="s">
        <v>3361</v>
      </c>
      <c r="B1552" s="5" t="s">
        <v>3362</v>
      </c>
      <c r="C1552" s="5" t="s">
        <v>571</v>
      </c>
      <c r="D1552" s="5" t="s">
        <v>1655</v>
      </c>
      <c r="E1552" s="5" t="s">
        <v>1656</v>
      </c>
      <c r="F1552" t="str">
        <f>_xlfn.XLOOKUP(A1552,[1]邦达数据库!$A:$A,[1]邦达数据库!$C:$C)</f>
        <v>8425.42.0000</v>
      </c>
    </row>
    <row r="1553" ht="30" customHeight="1" spans="1:6">
      <c r="A1553" s="2" t="s">
        <v>3363</v>
      </c>
      <c r="B1553" s="3" t="s">
        <v>3362</v>
      </c>
      <c r="C1553" s="3" t="s">
        <v>571</v>
      </c>
      <c r="D1553" s="3" t="s">
        <v>404</v>
      </c>
      <c r="E1553" s="3" t="s">
        <v>405</v>
      </c>
      <c r="F1553" t="str">
        <f>_xlfn.XLOOKUP(A1553,[1]邦达数据库!$A:$A,[1]邦达数据库!$C:$C)</f>
        <v>8425.42.0000</v>
      </c>
    </row>
    <row r="1554" ht="30" customHeight="1" spans="1:6">
      <c r="A1554" s="4" t="s">
        <v>3364</v>
      </c>
      <c r="B1554" s="5" t="s">
        <v>3365</v>
      </c>
      <c r="C1554" s="5" t="s">
        <v>17</v>
      </c>
      <c r="D1554" s="5" t="s">
        <v>3366</v>
      </c>
      <c r="E1554" s="5" t="s">
        <v>3367</v>
      </c>
      <c r="F1554" t="e">
        <f>_xlfn.XLOOKUP(A1554,[1]邦达数据库!$A:$A,[1]邦达数据库!$C:$C)</f>
        <v>#N/A</v>
      </c>
    </row>
    <row r="1555" ht="30" customHeight="1" spans="1:6">
      <c r="A1555" s="2" t="s">
        <v>3368</v>
      </c>
      <c r="B1555" s="3" t="s">
        <v>3369</v>
      </c>
      <c r="C1555" s="3" t="s">
        <v>17</v>
      </c>
      <c r="D1555" s="3" t="s">
        <v>507</v>
      </c>
      <c r="E1555" s="3" t="s">
        <v>508</v>
      </c>
      <c r="F1555" t="e">
        <f>_xlfn.XLOOKUP(A1555,[1]邦达数据库!$A:$A,[1]邦达数据库!$C:$C)</f>
        <v>#N/A</v>
      </c>
    </row>
    <row r="1556" ht="30" customHeight="1" spans="1:6">
      <c r="A1556" s="4" t="s">
        <v>3370</v>
      </c>
      <c r="B1556" s="5" t="s">
        <v>3371</v>
      </c>
      <c r="C1556" s="5" t="s">
        <v>2061</v>
      </c>
      <c r="D1556" s="5" t="s">
        <v>1110</v>
      </c>
      <c r="E1556" s="5" t="s">
        <v>1111</v>
      </c>
      <c r="F1556" t="e">
        <f>_xlfn.XLOOKUP(A1556,[1]邦达数据库!$A:$A,[1]邦达数据库!$C:$C)</f>
        <v>#N/A</v>
      </c>
    </row>
    <row r="1557" ht="30" customHeight="1" spans="1:6">
      <c r="A1557" s="2" t="s">
        <v>3372</v>
      </c>
      <c r="B1557" s="3" t="s">
        <v>3373</v>
      </c>
      <c r="C1557" s="3" t="s">
        <v>3374</v>
      </c>
      <c r="D1557" s="3" t="s">
        <v>104</v>
      </c>
      <c r="E1557" s="3" t="s">
        <v>105</v>
      </c>
      <c r="F1557" t="e">
        <f>_xlfn.XLOOKUP(A1557,[1]邦达数据库!$A:$A,[1]邦达数据库!$C:$C)</f>
        <v>#N/A</v>
      </c>
    </row>
    <row r="1558" ht="30" customHeight="1" spans="1:6">
      <c r="A1558" s="4" t="s">
        <v>3375</v>
      </c>
      <c r="B1558" s="5" t="s">
        <v>3373</v>
      </c>
      <c r="C1558" s="5" t="s">
        <v>3374</v>
      </c>
      <c r="D1558" s="5" t="s">
        <v>104</v>
      </c>
      <c r="E1558" s="5" t="s">
        <v>105</v>
      </c>
      <c r="F1558" t="e">
        <f>_xlfn.XLOOKUP(A1558,[1]邦达数据库!$A:$A,[1]邦达数据库!$C:$C)</f>
        <v>#N/A</v>
      </c>
    </row>
    <row r="1559" ht="30" customHeight="1" spans="1:6">
      <c r="A1559" s="2" t="s">
        <v>3376</v>
      </c>
      <c r="B1559" s="3" t="s">
        <v>3377</v>
      </c>
      <c r="C1559" s="3" t="s">
        <v>148</v>
      </c>
      <c r="D1559" s="3" t="s">
        <v>1206</v>
      </c>
      <c r="E1559" s="3" t="s">
        <v>1207</v>
      </c>
      <c r="F1559" t="e">
        <f>_xlfn.XLOOKUP(A1559,[1]邦达数据库!$A:$A,[1]邦达数据库!$C:$C)</f>
        <v>#N/A</v>
      </c>
    </row>
    <row r="1560" ht="30" customHeight="1" spans="1:6">
      <c r="A1560" s="4" t="s">
        <v>3378</v>
      </c>
      <c r="B1560" s="5" t="s">
        <v>3379</v>
      </c>
      <c r="C1560" s="5" t="s">
        <v>3380</v>
      </c>
      <c r="D1560" s="5" t="s">
        <v>79</v>
      </c>
      <c r="E1560" s="5" t="s">
        <v>80</v>
      </c>
      <c r="F1560" t="e">
        <f>_xlfn.XLOOKUP(A1560,[1]邦达数据库!$A:$A,[1]邦达数据库!$C:$C)</f>
        <v>#N/A</v>
      </c>
    </row>
    <row r="1561" ht="30" customHeight="1" spans="1:6">
      <c r="A1561" s="2" t="s">
        <v>3381</v>
      </c>
      <c r="B1561" s="3" t="s">
        <v>3382</v>
      </c>
      <c r="C1561" s="3" t="s">
        <v>1959</v>
      </c>
      <c r="D1561" s="3" t="s">
        <v>28</v>
      </c>
      <c r="E1561" s="3" t="s">
        <v>29</v>
      </c>
      <c r="F1561" t="e">
        <f>_xlfn.XLOOKUP(A1561,[1]邦达数据库!$A:$A,[1]邦达数据库!$C:$C)</f>
        <v>#N/A</v>
      </c>
    </row>
    <row r="1562" ht="30" customHeight="1" spans="1:6">
      <c r="A1562" s="4" t="s">
        <v>3383</v>
      </c>
      <c r="B1562" s="5" t="s">
        <v>3384</v>
      </c>
      <c r="C1562" s="5" t="s">
        <v>3385</v>
      </c>
      <c r="D1562" s="5" t="s">
        <v>2177</v>
      </c>
      <c r="E1562" s="5" t="s">
        <v>2178</v>
      </c>
      <c r="F1562" t="e">
        <f>_xlfn.XLOOKUP(A1562,[1]邦达数据库!$A:$A,[1]邦达数据库!$C:$C)</f>
        <v>#N/A</v>
      </c>
    </row>
    <row r="1563" ht="30" customHeight="1" spans="1:6">
      <c r="A1563" s="2" t="s">
        <v>3386</v>
      </c>
      <c r="B1563" s="3" t="s">
        <v>3384</v>
      </c>
      <c r="C1563" s="3" t="s">
        <v>3385</v>
      </c>
      <c r="D1563" s="3" t="s">
        <v>568</v>
      </c>
      <c r="E1563" s="3" t="s">
        <v>569</v>
      </c>
      <c r="F1563" t="e">
        <f>_xlfn.XLOOKUP(A1563,[1]邦达数据库!$A:$A,[1]邦达数据库!$C:$C)</f>
        <v>#N/A</v>
      </c>
    </row>
    <row r="1564" ht="30" customHeight="1" spans="1:6">
      <c r="A1564" s="4" t="s">
        <v>3387</v>
      </c>
      <c r="B1564" s="5" t="s">
        <v>3388</v>
      </c>
      <c r="C1564" s="5" t="s">
        <v>685</v>
      </c>
      <c r="D1564" s="5" t="s">
        <v>1356</v>
      </c>
      <c r="E1564" s="5" t="s">
        <v>1357</v>
      </c>
      <c r="F1564" t="e">
        <f>_xlfn.XLOOKUP(A1564,[1]邦达数据库!$A:$A,[1]邦达数据库!$C:$C)</f>
        <v>#N/A</v>
      </c>
    </row>
    <row r="1565" ht="30" customHeight="1" spans="1:6">
      <c r="A1565" s="2" t="s">
        <v>3389</v>
      </c>
      <c r="B1565" s="3" t="s">
        <v>3390</v>
      </c>
      <c r="C1565" s="3" t="s">
        <v>685</v>
      </c>
      <c r="D1565" s="3" t="s">
        <v>319</v>
      </c>
      <c r="E1565" s="3" t="s">
        <v>320</v>
      </c>
      <c r="F1565" t="e">
        <f>_xlfn.XLOOKUP(A1565,[1]邦达数据库!$A:$A,[1]邦达数据库!$C:$C)</f>
        <v>#N/A</v>
      </c>
    </row>
    <row r="1566" ht="30" customHeight="1" spans="1:6">
      <c r="A1566" s="4" t="s">
        <v>3391</v>
      </c>
      <c r="B1566" s="5" t="s">
        <v>2315</v>
      </c>
      <c r="C1566" s="5" t="s">
        <v>221</v>
      </c>
      <c r="D1566" s="5" t="s">
        <v>400</v>
      </c>
      <c r="E1566" s="5" t="s">
        <v>401</v>
      </c>
      <c r="F1566" t="e">
        <f>_xlfn.XLOOKUP(A1566,[1]邦达数据库!$A:$A,[1]邦达数据库!$C:$C)</f>
        <v>#N/A</v>
      </c>
    </row>
    <row r="1567" ht="30" customHeight="1" spans="1:6">
      <c r="A1567" s="2" t="s">
        <v>3392</v>
      </c>
      <c r="B1567" s="3" t="s">
        <v>3393</v>
      </c>
      <c r="C1567" s="3" t="s">
        <v>265</v>
      </c>
      <c r="D1567" s="3" t="s">
        <v>618</v>
      </c>
      <c r="E1567" s="3" t="s">
        <v>619</v>
      </c>
      <c r="F1567" t="str">
        <f>_xlfn.XLOOKUP(A1567,[1]邦达数据库!$A:$A,[1]邦达数据库!$C:$C)</f>
        <v>7616.99.9099</v>
      </c>
    </row>
    <row r="1568" ht="30" customHeight="1" spans="1:6">
      <c r="A1568" s="4" t="s">
        <v>3394</v>
      </c>
      <c r="B1568" s="5" t="s">
        <v>3395</v>
      </c>
      <c r="C1568" s="5" t="s">
        <v>3396</v>
      </c>
      <c r="D1568" s="5" t="s">
        <v>250</v>
      </c>
      <c r="E1568" s="5" t="s">
        <v>251</v>
      </c>
      <c r="F1568" t="e">
        <f>_xlfn.XLOOKUP(A1568,[1]邦达数据库!$A:$A,[1]邦达数据库!$C:$C)</f>
        <v>#N/A</v>
      </c>
    </row>
    <row r="1569" ht="30" customHeight="1" spans="1:6">
      <c r="A1569" s="2" t="s">
        <v>3397</v>
      </c>
      <c r="B1569" s="3" t="s">
        <v>3395</v>
      </c>
      <c r="C1569" s="3" t="s">
        <v>3396</v>
      </c>
      <c r="D1569" s="3" t="s">
        <v>250</v>
      </c>
      <c r="E1569" s="3" t="s">
        <v>251</v>
      </c>
      <c r="F1569" t="e">
        <f>_xlfn.XLOOKUP(A1569,[1]邦达数据库!$A:$A,[1]邦达数据库!$C:$C)</f>
        <v>#N/A</v>
      </c>
    </row>
    <row r="1570" ht="30" customHeight="1" spans="1:6">
      <c r="A1570" s="4" t="s">
        <v>3398</v>
      </c>
      <c r="B1570" s="5" t="s">
        <v>3399</v>
      </c>
      <c r="C1570" s="5" t="s">
        <v>242</v>
      </c>
      <c r="D1570" s="5" t="s">
        <v>3400</v>
      </c>
      <c r="E1570" s="5" t="s">
        <v>3401</v>
      </c>
      <c r="F1570" t="e">
        <f>_xlfn.XLOOKUP(A1570,[1]邦达数据库!$A:$A,[1]邦达数据库!$C:$C)</f>
        <v>#N/A</v>
      </c>
    </row>
    <row r="1571" ht="30" customHeight="1" spans="1:6">
      <c r="A1571" s="2" t="s">
        <v>3402</v>
      </c>
      <c r="B1571" s="3" t="s">
        <v>3399</v>
      </c>
      <c r="C1571" s="3" t="s">
        <v>242</v>
      </c>
      <c r="D1571" s="3" t="s">
        <v>3400</v>
      </c>
      <c r="E1571" s="3" t="s">
        <v>3401</v>
      </c>
      <c r="F1571" t="e">
        <f>_xlfn.XLOOKUP(A1571,[1]邦达数据库!$A:$A,[1]邦达数据库!$C:$C)</f>
        <v>#N/A</v>
      </c>
    </row>
    <row r="1572" ht="30" customHeight="1" spans="1:6">
      <c r="A1572" s="4" t="s">
        <v>3403</v>
      </c>
      <c r="B1572" s="5" t="s">
        <v>3404</v>
      </c>
      <c r="C1572" s="5" t="s">
        <v>1108</v>
      </c>
      <c r="D1572" s="5" t="s">
        <v>711</v>
      </c>
      <c r="E1572" s="5" t="s">
        <v>712</v>
      </c>
      <c r="F1572" t="e">
        <f>_xlfn.XLOOKUP(A1572,[1]邦达数据库!$A:$A,[1]邦达数据库!$C:$C)</f>
        <v>#N/A</v>
      </c>
    </row>
    <row r="1573" ht="30" customHeight="1" spans="1:6">
      <c r="A1573" s="2" t="s">
        <v>3405</v>
      </c>
      <c r="B1573" s="3" t="s">
        <v>3406</v>
      </c>
      <c r="C1573" s="3" t="s">
        <v>827</v>
      </c>
      <c r="D1573" s="3" t="s">
        <v>3407</v>
      </c>
      <c r="E1573" s="3" t="s">
        <v>3408</v>
      </c>
      <c r="F1573" t="e">
        <f>_xlfn.XLOOKUP(A1573,[1]邦达数据库!$A:$A,[1]邦达数据库!$C:$C)</f>
        <v>#N/A</v>
      </c>
    </row>
    <row r="1574" ht="30" customHeight="1" spans="1:6">
      <c r="A1574" s="4" t="s">
        <v>3409</v>
      </c>
      <c r="B1574" s="5" t="s">
        <v>3406</v>
      </c>
      <c r="C1574" s="5" t="s">
        <v>1965</v>
      </c>
      <c r="D1574" s="5" t="s">
        <v>3410</v>
      </c>
      <c r="E1574" s="5" t="s">
        <v>3411</v>
      </c>
      <c r="F1574" t="e">
        <f>_xlfn.XLOOKUP(A1574,[1]邦达数据库!$A:$A,[1]邦达数据库!$C:$C)</f>
        <v>#N/A</v>
      </c>
    </row>
    <row r="1575" ht="30" customHeight="1" spans="1:6">
      <c r="A1575" s="2" t="s">
        <v>3412</v>
      </c>
      <c r="B1575" s="3" t="s">
        <v>3413</v>
      </c>
      <c r="C1575" s="3" t="s">
        <v>874</v>
      </c>
      <c r="D1575" s="3" t="s">
        <v>170</v>
      </c>
      <c r="E1575" s="3" t="s">
        <v>171</v>
      </c>
      <c r="F1575" t="e">
        <f>_xlfn.XLOOKUP(A1575,[1]邦达数据库!$A:$A,[1]邦达数据库!$C:$C)</f>
        <v>#N/A</v>
      </c>
    </row>
    <row r="1576" ht="30" customHeight="1" spans="1:6">
      <c r="A1576" s="4" t="s">
        <v>3414</v>
      </c>
      <c r="B1576" s="5" t="s">
        <v>3415</v>
      </c>
      <c r="C1576" s="5" t="s">
        <v>3380</v>
      </c>
      <c r="D1576" s="5" t="s">
        <v>1356</v>
      </c>
      <c r="E1576" s="5" t="s">
        <v>1357</v>
      </c>
      <c r="F1576" t="e">
        <f>_xlfn.XLOOKUP(A1576,[1]邦达数据库!$A:$A,[1]邦达数据库!$C:$C)</f>
        <v>#N/A</v>
      </c>
    </row>
    <row r="1577" ht="30" customHeight="1" spans="1:6">
      <c r="A1577" s="2" t="s">
        <v>3416</v>
      </c>
      <c r="B1577" s="3" t="s">
        <v>3415</v>
      </c>
      <c r="C1577" s="3" t="s">
        <v>3380</v>
      </c>
      <c r="D1577" s="3" t="s">
        <v>2416</v>
      </c>
      <c r="E1577" s="3" t="s">
        <v>2417</v>
      </c>
      <c r="F1577" t="e">
        <f>_xlfn.XLOOKUP(A1577,[1]邦达数据库!$A:$A,[1]邦达数据库!$C:$C)</f>
        <v>#N/A</v>
      </c>
    </row>
    <row r="1578" ht="30" customHeight="1" spans="1:6">
      <c r="A1578" s="4" t="s">
        <v>3417</v>
      </c>
      <c r="B1578" s="5" t="s">
        <v>3415</v>
      </c>
      <c r="C1578" s="5" t="s">
        <v>3380</v>
      </c>
      <c r="D1578" s="5" t="s">
        <v>2416</v>
      </c>
      <c r="E1578" s="5" t="s">
        <v>2417</v>
      </c>
      <c r="F1578" t="e">
        <f>_xlfn.XLOOKUP(A1578,[1]邦达数据库!$A:$A,[1]邦达数据库!$C:$C)</f>
        <v>#N/A</v>
      </c>
    </row>
    <row r="1579" ht="30" customHeight="1" spans="1:6">
      <c r="A1579" s="2" t="s">
        <v>3418</v>
      </c>
      <c r="B1579" s="3" t="s">
        <v>3419</v>
      </c>
      <c r="C1579" s="3" t="s">
        <v>265</v>
      </c>
      <c r="D1579" s="3" t="s">
        <v>271</v>
      </c>
      <c r="E1579" s="3" t="s">
        <v>272</v>
      </c>
      <c r="F1579" t="e">
        <f>_xlfn.XLOOKUP(A1579,[1]邦达数据库!$A:$A,[1]邦达数据库!$C:$C)</f>
        <v>#N/A</v>
      </c>
    </row>
    <row r="1580" ht="30" customHeight="1" spans="1:6">
      <c r="A1580" s="4" t="s">
        <v>3420</v>
      </c>
      <c r="B1580" s="5" t="s">
        <v>3421</v>
      </c>
      <c r="C1580" s="5" t="s">
        <v>318</v>
      </c>
      <c r="D1580" s="5" t="s">
        <v>260</v>
      </c>
      <c r="E1580" s="5" t="s">
        <v>261</v>
      </c>
      <c r="F1580" t="e">
        <f>_xlfn.XLOOKUP(A1580,[1]邦达数据库!$A:$A,[1]邦达数据库!$C:$C)</f>
        <v>#N/A</v>
      </c>
    </row>
    <row r="1581" ht="30" customHeight="1" spans="1:6">
      <c r="A1581" s="4" t="s">
        <v>3422</v>
      </c>
      <c r="B1581" s="5" t="s">
        <v>3421</v>
      </c>
      <c r="C1581" s="5" t="s">
        <v>318</v>
      </c>
      <c r="D1581" s="5" t="s">
        <v>3280</v>
      </c>
      <c r="E1581" s="5" t="s">
        <v>3281</v>
      </c>
      <c r="F1581" t="e">
        <f>_xlfn.XLOOKUP(A1581,[1]邦达数据库!$A:$A,[1]邦达数据库!$C:$C)</f>
        <v>#N/A</v>
      </c>
    </row>
    <row r="1582" ht="30" customHeight="1" spans="1:6">
      <c r="A1582" s="2" t="s">
        <v>3423</v>
      </c>
      <c r="B1582" s="3" t="s">
        <v>2488</v>
      </c>
      <c r="C1582" s="3" t="s">
        <v>2489</v>
      </c>
      <c r="D1582" s="3" t="s">
        <v>250</v>
      </c>
      <c r="E1582" s="3" t="s">
        <v>251</v>
      </c>
      <c r="F1582" t="e">
        <f>_xlfn.XLOOKUP(A1582,[1]邦达数据库!$A:$A,[1]邦达数据库!$C:$C)</f>
        <v>#N/A</v>
      </c>
    </row>
    <row r="1583" ht="30" customHeight="1" spans="1:6">
      <c r="A1583" s="4" t="s">
        <v>3424</v>
      </c>
      <c r="B1583" s="5" t="s">
        <v>2488</v>
      </c>
      <c r="C1583" s="5" t="s">
        <v>2489</v>
      </c>
      <c r="D1583" s="5" t="s">
        <v>413</v>
      </c>
      <c r="E1583" s="5" t="s">
        <v>414</v>
      </c>
      <c r="F1583" t="e">
        <f>_xlfn.XLOOKUP(A1583,[1]邦达数据库!$A:$A,[1]邦达数据库!$C:$C)</f>
        <v>#N/A</v>
      </c>
    </row>
    <row r="1584" ht="30" customHeight="1" spans="1:6">
      <c r="A1584" s="2" t="s">
        <v>3425</v>
      </c>
      <c r="B1584" s="3" t="s">
        <v>2488</v>
      </c>
      <c r="C1584" s="3" t="s">
        <v>2489</v>
      </c>
      <c r="D1584" s="3" t="s">
        <v>413</v>
      </c>
      <c r="E1584" s="3" t="s">
        <v>414</v>
      </c>
      <c r="F1584" t="e">
        <f>_xlfn.XLOOKUP(A1584,[1]邦达数据库!$A:$A,[1]邦达数据库!$C:$C)</f>
        <v>#N/A</v>
      </c>
    </row>
    <row r="1585" ht="30" customHeight="1" spans="1:6">
      <c r="A1585" s="4" t="s">
        <v>3426</v>
      </c>
      <c r="B1585" s="5" t="s">
        <v>2488</v>
      </c>
      <c r="C1585" s="5" t="s">
        <v>2489</v>
      </c>
      <c r="D1585" s="5" t="s">
        <v>3427</v>
      </c>
      <c r="E1585" s="5" t="s">
        <v>3428</v>
      </c>
      <c r="F1585" t="e">
        <f>_xlfn.XLOOKUP(A1585,[1]邦达数据库!$A:$A,[1]邦达数据库!$C:$C)</f>
        <v>#N/A</v>
      </c>
    </row>
    <row r="1586" ht="30" customHeight="1" spans="1:6">
      <c r="A1586" s="2" t="s">
        <v>3429</v>
      </c>
      <c r="B1586" s="3" t="s">
        <v>3430</v>
      </c>
      <c r="C1586" s="3" t="s">
        <v>1467</v>
      </c>
      <c r="D1586" s="3" t="s">
        <v>3431</v>
      </c>
      <c r="E1586" s="3" t="s">
        <v>3432</v>
      </c>
      <c r="F1586" t="e">
        <f>_xlfn.XLOOKUP(A1586,[1]邦达数据库!$A:$A,[1]邦达数据库!$C:$C)</f>
        <v>#N/A</v>
      </c>
    </row>
    <row r="1587" ht="30" customHeight="1" spans="1:6">
      <c r="A1587" s="4" t="s">
        <v>3433</v>
      </c>
      <c r="B1587" s="5" t="s">
        <v>156</v>
      </c>
      <c r="C1587" s="5" t="s">
        <v>157</v>
      </c>
      <c r="D1587" s="5" t="s">
        <v>524</v>
      </c>
      <c r="E1587" s="5" t="s">
        <v>525</v>
      </c>
      <c r="F1587" t="e">
        <f>_xlfn.XLOOKUP(A1587,[1]邦达数据库!$A:$A,[1]邦达数据库!$C:$C)</f>
        <v>#N/A</v>
      </c>
    </row>
    <row r="1588" ht="30" customHeight="1" spans="1:6">
      <c r="A1588" s="2" t="s">
        <v>3434</v>
      </c>
      <c r="B1588" s="3" t="s">
        <v>3435</v>
      </c>
      <c r="C1588" s="3" t="s">
        <v>221</v>
      </c>
      <c r="D1588" s="3" t="s">
        <v>9</v>
      </c>
      <c r="E1588" s="3" t="s">
        <v>10</v>
      </c>
      <c r="F1588" t="e">
        <f>_xlfn.XLOOKUP(A1588,[1]邦达数据库!$A:$A,[1]邦达数据库!$C:$C)</f>
        <v>#N/A</v>
      </c>
    </row>
    <row r="1589" ht="30" customHeight="1" spans="1:6">
      <c r="A1589" s="4" t="s">
        <v>3436</v>
      </c>
      <c r="B1589" s="5" t="s">
        <v>3430</v>
      </c>
      <c r="C1589" s="5" t="s">
        <v>1467</v>
      </c>
      <c r="D1589" s="5" t="s">
        <v>2299</v>
      </c>
      <c r="E1589" s="5" t="s">
        <v>2300</v>
      </c>
      <c r="F1589" t="e">
        <f>_xlfn.XLOOKUP(A1589,[1]邦达数据库!$A:$A,[1]邦达数据库!$C:$C)</f>
        <v>#N/A</v>
      </c>
    </row>
    <row r="1590" ht="30" customHeight="1" spans="1:6">
      <c r="A1590" s="2" t="s">
        <v>3437</v>
      </c>
      <c r="B1590" s="3" t="s">
        <v>3438</v>
      </c>
      <c r="C1590" s="3" t="s">
        <v>962</v>
      </c>
      <c r="D1590" s="3" t="s">
        <v>79</v>
      </c>
      <c r="E1590" s="3" t="s">
        <v>80</v>
      </c>
      <c r="F1590" t="e">
        <f>_xlfn.XLOOKUP(A1590,[1]邦达数据库!$A:$A,[1]邦达数据库!$C:$C)</f>
        <v>#N/A</v>
      </c>
    </row>
    <row r="1591" ht="30" customHeight="1" spans="1:6">
      <c r="A1591" s="4" t="s">
        <v>3439</v>
      </c>
      <c r="B1591" s="5" t="s">
        <v>3440</v>
      </c>
      <c r="C1591" s="5" t="s">
        <v>17</v>
      </c>
      <c r="D1591" s="5" t="s">
        <v>1498</v>
      </c>
      <c r="E1591" s="5" t="s">
        <v>1499</v>
      </c>
      <c r="F1591" t="e">
        <f>_xlfn.XLOOKUP(A1591,[1]邦达数据库!$A:$A,[1]邦达数据库!$C:$C)</f>
        <v>#N/A</v>
      </c>
    </row>
    <row r="1592" ht="30" customHeight="1" spans="1:6">
      <c r="A1592" s="2" t="s">
        <v>3441</v>
      </c>
      <c r="B1592" s="3" t="s">
        <v>3440</v>
      </c>
      <c r="C1592" s="3" t="s">
        <v>17</v>
      </c>
      <c r="D1592" s="3" t="s">
        <v>400</v>
      </c>
      <c r="E1592" s="3" t="s">
        <v>401</v>
      </c>
      <c r="F1592" t="e">
        <f>_xlfn.XLOOKUP(A1592,[1]邦达数据库!$A:$A,[1]邦达数据库!$C:$C)</f>
        <v>#N/A</v>
      </c>
    </row>
    <row r="1593" ht="30" customHeight="1" spans="1:6">
      <c r="A1593" s="4" t="s">
        <v>3442</v>
      </c>
      <c r="B1593" s="5" t="s">
        <v>3440</v>
      </c>
      <c r="C1593" s="5" t="s">
        <v>17</v>
      </c>
      <c r="D1593" s="5" t="s">
        <v>3443</v>
      </c>
      <c r="E1593" s="5" t="s">
        <v>3444</v>
      </c>
      <c r="F1593" t="e">
        <f>_xlfn.XLOOKUP(A1593,[1]邦达数据库!$A:$A,[1]邦达数据库!$C:$C)</f>
        <v>#N/A</v>
      </c>
    </row>
    <row r="1594" ht="30" customHeight="1" spans="1:6">
      <c r="A1594" s="2" t="s">
        <v>3445</v>
      </c>
      <c r="B1594" s="3" t="s">
        <v>3446</v>
      </c>
      <c r="C1594" s="3" t="s">
        <v>17</v>
      </c>
      <c r="D1594" s="3" t="s">
        <v>1498</v>
      </c>
      <c r="E1594" s="3" t="s">
        <v>1499</v>
      </c>
      <c r="F1594" t="e">
        <f>_xlfn.XLOOKUP(A1594,[1]邦达数据库!$A:$A,[1]邦达数据库!$C:$C)</f>
        <v>#N/A</v>
      </c>
    </row>
    <row r="1595" ht="30" customHeight="1" spans="1:6">
      <c r="A1595" s="4" t="s">
        <v>3447</v>
      </c>
      <c r="B1595" s="5" t="s">
        <v>3440</v>
      </c>
      <c r="C1595" s="5" t="s">
        <v>17</v>
      </c>
      <c r="D1595" s="5" t="s">
        <v>3443</v>
      </c>
      <c r="E1595" s="5" t="s">
        <v>3444</v>
      </c>
      <c r="F1595" t="e">
        <f>_xlfn.XLOOKUP(A1595,[1]邦达数据库!$A:$A,[1]邦达数据库!$C:$C)</f>
        <v>#N/A</v>
      </c>
    </row>
    <row r="1596" ht="30" customHeight="1" spans="1:6">
      <c r="A1596" s="2" t="s">
        <v>3448</v>
      </c>
      <c r="B1596" s="3" t="s">
        <v>3449</v>
      </c>
      <c r="C1596" s="3" t="s">
        <v>2190</v>
      </c>
      <c r="D1596" s="3" t="s">
        <v>428</v>
      </c>
      <c r="E1596" s="3" t="s">
        <v>429</v>
      </c>
      <c r="F1596" t="e">
        <f>_xlfn.XLOOKUP(A1596,[1]邦达数据库!$A:$A,[1]邦达数据库!$C:$C)</f>
        <v>#N/A</v>
      </c>
    </row>
    <row r="1597" ht="30" customHeight="1" spans="1:6">
      <c r="A1597" s="4" t="s">
        <v>3450</v>
      </c>
      <c r="B1597" s="5" t="s">
        <v>3449</v>
      </c>
      <c r="C1597" s="5" t="s">
        <v>2190</v>
      </c>
      <c r="D1597" s="5" t="s">
        <v>271</v>
      </c>
      <c r="E1597" s="5" t="s">
        <v>272</v>
      </c>
      <c r="F1597" t="e">
        <f>_xlfn.XLOOKUP(A1597,[1]邦达数据库!$A:$A,[1]邦达数据库!$C:$C)</f>
        <v>#N/A</v>
      </c>
    </row>
    <row r="1598" ht="30" customHeight="1" spans="1:6">
      <c r="A1598" s="2" t="s">
        <v>3451</v>
      </c>
      <c r="B1598" s="3" t="s">
        <v>3452</v>
      </c>
      <c r="C1598" s="3" t="s">
        <v>17</v>
      </c>
      <c r="D1598" s="3" t="s">
        <v>1736</v>
      </c>
      <c r="E1598" s="3" t="s">
        <v>1737</v>
      </c>
      <c r="F1598" t="e">
        <f>_xlfn.XLOOKUP(A1598,[1]邦达数据库!$A:$A,[1]邦达数据库!$C:$C)</f>
        <v>#N/A</v>
      </c>
    </row>
    <row r="1599" ht="30" customHeight="1" spans="1:6">
      <c r="A1599" s="4" t="s">
        <v>3453</v>
      </c>
      <c r="B1599" s="5" t="s">
        <v>2413</v>
      </c>
      <c r="C1599" s="5" t="s">
        <v>2414</v>
      </c>
      <c r="D1599" s="5" t="s">
        <v>1356</v>
      </c>
      <c r="E1599" s="5" t="s">
        <v>1357</v>
      </c>
      <c r="F1599" t="e">
        <f>_xlfn.XLOOKUP(A1599,[1]邦达数据库!$A:$A,[1]邦达数据库!$C:$C)</f>
        <v>#N/A</v>
      </c>
    </row>
    <row r="1600" ht="30" customHeight="1" spans="1:6">
      <c r="A1600" s="2" t="s">
        <v>3454</v>
      </c>
      <c r="B1600" s="3" t="s">
        <v>1936</v>
      </c>
      <c r="C1600" s="3" t="s">
        <v>1467</v>
      </c>
      <c r="D1600" s="3" t="s">
        <v>1285</v>
      </c>
      <c r="E1600" s="3" t="s">
        <v>1286</v>
      </c>
      <c r="F1600" t="e">
        <f>_xlfn.XLOOKUP(A1600,[1]邦达数据库!$A:$A,[1]邦达数据库!$C:$C)</f>
        <v>#N/A</v>
      </c>
    </row>
    <row r="1601" ht="30" customHeight="1" spans="1:6">
      <c r="A1601" s="4" t="s">
        <v>3455</v>
      </c>
      <c r="B1601" s="5" t="s">
        <v>1936</v>
      </c>
      <c r="C1601" s="5" t="s">
        <v>1467</v>
      </c>
      <c r="D1601" s="5" t="s">
        <v>2592</v>
      </c>
      <c r="E1601" s="5" t="s">
        <v>2593</v>
      </c>
      <c r="F1601" t="e">
        <f>_xlfn.XLOOKUP(A1601,[1]邦达数据库!$A:$A,[1]邦达数据库!$C:$C)</f>
        <v>#N/A</v>
      </c>
    </row>
    <row r="1602" ht="30" customHeight="1" spans="1:6">
      <c r="A1602" s="4" t="s">
        <v>3456</v>
      </c>
      <c r="B1602" s="5" t="s">
        <v>3457</v>
      </c>
      <c r="C1602" s="5" t="s">
        <v>716</v>
      </c>
      <c r="D1602" s="5" t="s">
        <v>256</v>
      </c>
      <c r="E1602" s="5" t="s">
        <v>257</v>
      </c>
      <c r="F1602" t="e">
        <f>_xlfn.XLOOKUP(A1602,[1]邦达数据库!$A:$A,[1]邦达数据库!$C:$C)</f>
        <v>#N/A</v>
      </c>
    </row>
    <row r="1603" ht="30" customHeight="1" spans="1:6">
      <c r="A1603" s="2" t="s">
        <v>3458</v>
      </c>
      <c r="B1603" s="3" t="s">
        <v>3457</v>
      </c>
      <c r="C1603" s="3" t="s">
        <v>3459</v>
      </c>
      <c r="D1603" s="3" t="s">
        <v>256</v>
      </c>
      <c r="E1603" s="3" t="s">
        <v>257</v>
      </c>
      <c r="F1603" t="e">
        <f>_xlfn.XLOOKUP(A1603,[1]邦达数据库!$A:$A,[1]邦达数据库!$C:$C)</f>
        <v>#N/A</v>
      </c>
    </row>
    <row r="1604" ht="30" customHeight="1" spans="1:6">
      <c r="A1604" s="4" t="s">
        <v>3460</v>
      </c>
      <c r="B1604" s="5" t="s">
        <v>3457</v>
      </c>
      <c r="C1604" s="5" t="s">
        <v>716</v>
      </c>
      <c r="D1604" s="5" t="s">
        <v>336</v>
      </c>
      <c r="E1604" s="5" t="s">
        <v>337</v>
      </c>
      <c r="F1604" t="e">
        <f>_xlfn.XLOOKUP(A1604,[1]邦达数据库!$A:$A,[1]邦达数据库!$C:$C)</f>
        <v>#N/A</v>
      </c>
    </row>
    <row r="1605" ht="30" customHeight="1" spans="1:6">
      <c r="A1605" s="2" t="s">
        <v>3461</v>
      </c>
      <c r="B1605" s="3" t="s">
        <v>3457</v>
      </c>
      <c r="C1605" s="3" t="s">
        <v>3459</v>
      </c>
      <c r="D1605" s="3" t="s">
        <v>3462</v>
      </c>
      <c r="E1605" s="3" t="s">
        <v>3463</v>
      </c>
      <c r="F1605" t="e">
        <f>_xlfn.XLOOKUP(A1605,[1]邦达数据库!$A:$A,[1]邦达数据库!$C:$C)</f>
        <v>#N/A</v>
      </c>
    </row>
    <row r="1606" ht="30" customHeight="1" spans="1:6">
      <c r="A1606" s="4" t="s">
        <v>3464</v>
      </c>
      <c r="B1606" s="5" t="s">
        <v>3457</v>
      </c>
      <c r="C1606" s="5" t="s">
        <v>3459</v>
      </c>
      <c r="D1606" s="5" t="s">
        <v>3462</v>
      </c>
      <c r="E1606" s="5" t="s">
        <v>3463</v>
      </c>
      <c r="F1606" t="e">
        <f>_xlfn.XLOOKUP(A1606,[1]邦达数据库!$A:$A,[1]邦达数据库!$C:$C)</f>
        <v>#N/A</v>
      </c>
    </row>
    <row r="1607" ht="30" customHeight="1" spans="1:6">
      <c r="A1607" s="2" t="s">
        <v>3465</v>
      </c>
      <c r="B1607" s="3" t="s">
        <v>3457</v>
      </c>
      <c r="C1607" s="3" t="s">
        <v>716</v>
      </c>
      <c r="D1607" s="3" t="s">
        <v>336</v>
      </c>
      <c r="E1607" s="3" t="s">
        <v>337</v>
      </c>
      <c r="F1607" t="e">
        <f>_xlfn.XLOOKUP(A1607,[1]邦达数据库!$A:$A,[1]邦达数据库!$C:$C)</f>
        <v>#N/A</v>
      </c>
    </row>
    <row r="1608" ht="30" customHeight="1" spans="1:6">
      <c r="A1608" s="4" t="s">
        <v>3466</v>
      </c>
      <c r="B1608" s="5" t="s">
        <v>3457</v>
      </c>
      <c r="C1608" s="5" t="s">
        <v>3459</v>
      </c>
      <c r="D1608" s="5" t="s">
        <v>3462</v>
      </c>
      <c r="E1608" s="5" t="s">
        <v>3463</v>
      </c>
      <c r="F1608" t="e">
        <f>_xlfn.XLOOKUP(A1608,[1]邦达数据库!$A:$A,[1]邦达数据库!$C:$C)</f>
        <v>#N/A</v>
      </c>
    </row>
    <row r="1609" ht="30" customHeight="1" spans="1:6">
      <c r="A1609" s="2" t="s">
        <v>3467</v>
      </c>
      <c r="B1609" s="3" t="s">
        <v>3457</v>
      </c>
      <c r="C1609" s="3" t="s">
        <v>716</v>
      </c>
      <c r="D1609" s="3" t="s">
        <v>336</v>
      </c>
      <c r="E1609" s="3" t="s">
        <v>337</v>
      </c>
      <c r="F1609" t="e">
        <f>_xlfn.XLOOKUP(A1609,[1]邦达数据库!$A:$A,[1]邦达数据库!$C:$C)</f>
        <v>#N/A</v>
      </c>
    </row>
    <row r="1610" ht="30" customHeight="1" spans="1:6">
      <c r="A1610" s="4" t="s">
        <v>3468</v>
      </c>
      <c r="B1610" s="5" t="s">
        <v>3457</v>
      </c>
      <c r="C1610" s="5" t="s">
        <v>716</v>
      </c>
      <c r="D1610" s="5" t="s">
        <v>336</v>
      </c>
      <c r="E1610" s="5" t="s">
        <v>337</v>
      </c>
      <c r="F1610" t="e">
        <f>_xlfn.XLOOKUP(A1610,[1]邦达数据库!$A:$A,[1]邦达数据库!$C:$C)</f>
        <v>#N/A</v>
      </c>
    </row>
    <row r="1611" ht="30" customHeight="1" spans="1:6">
      <c r="A1611" s="4" t="s">
        <v>3469</v>
      </c>
      <c r="B1611" s="5" t="s">
        <v>3470</v>
      </c>
      <c r="C1611" s="5" t="s">
        <v>340</v>
      </c>
      <c r="D1611" s="5" t="s">
        <v>1000</v>
      </c>
      <c r="E1611" s="5" t="s">
        <v>1001</v>
      </c>
      <c r="F1611" t="e">
        <f>_xlfn.XLOOKUP(A1611,[1]邦达数据库!$A:$A,[1]邦达数据库!$C:$C)</f>
        <v>#N/A</v>
      </c>
    </row>
    <row r="1612" ht="30" customHeight="1" spans="1:6">
      <c r="A1612" s="2" t="s">
        <v>3471</v>
      </c>
      <c r="B1612" s="3" t="s">
        <v>3472</v>
      </c>
      <c r="C1612" s="3" t="s">
        <v>3473</v>
      </c>
      <c r="D1612" s="3" t="s">
        <v>568</v>
      </c>
      <c r="E1612" s="3" t="s">
        <v>569</v>
      </c>
      <c r="F1612" t="e">
        <f>_xlfn.XLOOKUP(A1612,[1]邦达数据库!$A:$A,[1]邦达数据库!$C:$C)</f>
        <v>#N/A</v>
      </c>
    </row>
    <row r="1613" ht="30" customHeight="1" spans="1:6">
      <c r="A1613" s="4" t="s">
        <v>3474</v>
      </c>
      <c r="B1613" s="5" t="s">
        <v>3472</v>
      </c>
      <c r="C1613" s="5" t="s">
        <v>3473</v>
      </c>
      <c r="D1613" s="5" t="s">
        <v>568</v>
      </c>
      <c r="E1613" s="5" t="s">
        <v>569</v>
      </c>
      <c r="F1613" t="e">
        <f>_xlfn.XLOOKUP(A1613,[1]邦达数据库!$A:$A,[1]邦达数据库!$C:$C)</f>
        <v>#N/A</v>
      </c>
    </row>
    <row r="1614" ht="30" customHeight="1" spans="1:6">
      <c r="A1614" s="2" t="s">
        <v>3475</v>
      </c>
      <c r="B1614" s="3" t="s">
        <v>3476</v>
      </c>
      <c r="C1614" s="3" t="s">
        <v>17</v>
      </c>
      <c r="D1614" s="3" t="s">
        <v>742</v>
      </c>
      <c r="E1614" s="3" t="s">
        <v>743</v>
      </c>
      <c r="F1614" t="e">
        <f>_xlfn.XLOOKUP(A1614,[1]邦达数据库!$A:$A,[1]邦达数据库!$C:$C)</f>
        <v>#N/A</v>
      </c>
    </row>
    <row r="1615" ht="30" customHeight="1" spans="1:6">
      <c r="A1615" s="4" t="s">
        <v>3477</v>
      </c>
      <c r="B1615" s="5" t="s">
        <v>3476</v>
      </c>
      <c r="C1615" s="5" t="s">
        <v>17</v>
      </c>
      <c r="D1615" s="5" t="s">
        <v>3478</v>
      </c>
      <c r="E1615" s="5" t="s">
        <v>3479</v>
      </c>
      <c r="F1615" t="e">
        <f>_xlfn.XLOOKUP(A1615,[1]邦达数据库!$A:$A,[1]邦达数据库!$C:$C)</f>
        <v>#N/A</v>
      </c>
    </row>
    <row r="1616" ht="30" customHeight="1" spans="1:6">
      <c r="A1616" s="2" t="s">
        <v>3480</v>
      </c>
      <c r="B1616" s="3" t="s">
        <v>3476</v>
      </c>
      <c r="C1616" s="3" t="s">
        <v>17</v>
      </c>
      <c r="D1616" s="3" t="s">
        <v>3481</v>
      </c>
      <c r="E1616" s="3" t="s">
        <v>3482</v>
      </c>
      <c r="F1616" t="e">
        <f>_xlfn.XLOOKUP(A1616,[1]邦达数据库!$A:$A,[1]邦达数据库!$C:$C)</f>
        <v>#N/A</v>
      </c>
    </row>
    <row r="1617" ht="30" customHeight="1" spans="1:6">
      <c r="A1617" s="4" t="s">
        <v>3483</v>
      </c>
      <c r="B1617" s="5" t="s">
        <v>3476</v>
      </c>
      <c r="C1617" s="5" t="s">
        <v>17</v>
      </c>
      <c r="D1617" s="5" t="s">
        <v>3484</v>
      </c>
      <c r="E1617" s="5" t="s">
        <v>3485</v>
      </c>
      <c r="F1617" t="e">
        <f>_xlfn.XLOOKUP(A1617,[1]邦达数据库!$A:$A,[1]邦达数据库!$C:$C)</f>
        <v>#N/A</v>
      </c>
    </row>
    <row r="1618" ht="30" customHeight="1" spans="1:6">
      <c r="A1618" s="2" t="s">
        <v>3486</v>
      </c>
      <c r="B1618" s="3" t="s">
        <v>3487</v>
      </c>
      <c r="C1618" s="3" t="s">
        <v>221</v>
      </c>
      <c r="D1618" s="3" t="s">
        <v>1655</v>
      </c>
      <c r="E1618" s="3" t="s">
        <v>1656</v>
      </c>
      <c r="F1618" t="str">
        <f>_xlfn.XLOOKUP(A1618,[1]邦达数据库!$A:$A,[1]邦达数据库!$C:$C)</f>
        <v>9506.91.9000</v>
      </c>
    </row>
    <row r="1619" ht="30" customHeight="1" spans="1:6">
      <c r="A1619" s="4" t="s">
        <v>3488</v>
      </c>
      <c r="B1619" s="5" t="s">
        <v>3489</v>
      </c>
      <c r="C1619" s="5" t="s">
        <v>1108</v>
      </c>
      <c r="D1619" s="5" t="s">
        <v>482</v>
      </c>
      <c r="E1619" s="5" t="s">
        <v>483</v>
      </c>
      <c r="F1619" t="e">
        <f>_xlfn.XLOOKUP(A1619,[1]邦达数据库!$A:$A,[1]邦达数据库!$C:$C)</f>
        <v>#N/A</v>
      </c>
    </row>
    <row r="1620" ht="30" customHeight="1" spans="1:6">
      <c r="A1620" s="2" t="s">
        <v>3490</v>
      </c>
      <c r="B1620" s="3" t="s">
        <v>3489</v>
      </c>
      <c r="C1620" s="3" t="s">
        <v>1108</v>
      </c>
      <c r="D1620" s="3" t="s">
        <v>482</v>
      </c>
      <c r="E1620" s="3" t="s">
        <v>483</v>
      </c>
      <c r="F1620" t="e">
        <f>_xlfn.XLOOKUP(A1620,[1]邦达数据库!$A:$A,[1]邦达数据库!$C:$C)</f>
        <v>#N/A</v>
      </c>
    </row>
    <row r="1621" ht="30" customHeight="1" spans="1:6">
      <c r="A1621" s="4" t="s">
        <v>3491</v>
      </c>
      <c r="B1621" s="5" t="s">
        <v>3489</v>
      </c>
      <c r="C1621" s="5" t="s">
        <v>1108</v>
      </c>
      <c r="D1621" s="5" t="s">
        <v>1285</v>
      </c>
      <c r="E1621" s="5" t="s">
        <v>1286</v>
      </c>
      <c r="F1621" t="e">
        <f>_xlfn.XLOOKUP(A1621,[1]邦达数据库!$A:$A,[1]邦达数据库!$C:$C)</f>
        <v>#N/A</v>
      </c>
    </row>
    <row r="1622" ht="30" customHeight="1" spans="1:6">
      <c r="A1622" s="2" t="s">
        <v>3492</v>
      </c>
      <c r="B1622" s="3" t="s">
        <v>3489</v>
      </c>
      <c r="C1622" s="3" t="s">
        <v>1108</v>
      </c>
      <c r="D1622" s="3" t="s">
        <v>1285</v>
      </c>
      <c r="E1622" s="3" t="s">
        <v>1286</v>
      </c>
      <c r="F1622" t="e">
        <f>_xlfn.XLOOKUP(A1622,[1]邦达数据库!$A:$A,[1]邦达数据库!$C:$C)</f>
        <v>#N/A</v>
      </c>
    </row>
    <row r="1623" ht="30" customHeight="1" spans="1:6">
      <c r="A1623" s="4" t="s">
        <v>3493</v>
      </c>
      <c r="B1623" s="5" t="s">
        <v>3489</v>
      </c>
      <c r="C1623" s="5" t="s">
        <v>1108</v>
      </c>
      <c r="D1623" s="5" t="s">
        <v>482</v>
      </c>
      <c r="E1623" s="5" t="s">
        <v>483</v>
      </c>
      <c r="F1623" t="e">
        <f>_xlfn.XLOOKUP(A1623,[1]邦达数据库!$A:$A,[1]邦达数据库!$C:$C)</f>
        <v>#N/A</v>
      </c>
    </row>
    <row r="1624" ht="30" customHeight="1" spans="1:6">
      <c r="A1624" s="2" t="s">
        <v>3494</v>
      </c>
      <c r="B1624" s="3" t="s">
        <v>3489</v>
      </c>
      <c r="C1624" s="3" t="s">
        <v>1108</v>
      </c>
      <c r="D1624" s="3" t="s">
        <v>1285</v>
      </c>
      <c r="E1624" s="3" t="s">
        <v>1286</v>
      </c>
      <c r="F1624" t="e">
        <f>_xlfn.XLOOKUP(A1624,[1]邦达数据库!$A:$A,[1]邦达数据库!$C:$C)</f>
        <v>#N/A</v>
      </c>
    </row>
    <row r="1625" ht="30" customHeight="1" spans="1:6">
      <c r="A1625" s="4" t="s">
        <v>3495</v>
      </c>
      <c r="B1625" s="5" t="s">
        <v>3489</v>
      </c>
      <c r="C1625" s="5" t="s">
        <v>1108</v>
      </c>
      <c r="D1625" s="5" t="s">
        <v>130</v>
      </c>
      <c r="E1625" s="5" t="s">
        <v>131</v>
      </c>
      <c r="F1625" t="e">
        <f>_xlfn.XLOOKUP(A1625,[1]邦达数据库!$A:$A,[1]邦达数据库!$C:$C)</f>
        <v>#N/A</v>
      </c>
    </row>
    <row r="1626" ht="30" customHeight="1" spans="1:6">
      <c r="A1626" s="2" t="s">
        <v>3496</v>
      </c>
      <c r="B1626" s="3" t="s">
        <v>3497</v>
      </c>
      <c r="C1626" s="3" t="s">
        <v>3045</v>
      </c>
      <c r="D1626" s="3" t="s">
        <v>223</v>
      </c>
      <c r="E1626" s="3" t="s">
        <v>224</v>
      </c>
      <c r="F1626" t="e">
        <f>_xlfn.XLOOKUP(A1626,[1]邦达数据库!$A:$A,[1]邦达数据库!$C:$C)</f>
        <v>#N/A</v>
      </c>
    </row>
    <row r="1627" ht="30" customHeight="1" spans="1:6">
      <c r="A1627" s="4" t="s">
        <v>3498</v>
      </c>
      <c r="B1627" s="5" t="s">
        <v>3499</v>
      </c>
      <c r="C1627" s="5" t="s">
        <v>265</v>
      </c>
      <c r="D1627" s="5" t="s">
        <v>243</v>
      </c>
      <c r="E1627" s="5" t="s">
        <v>244</v>
      </c>
      <c r="F1627" t="e">
        <f>_xlfn.XLOOKUP(A1627,[1]邦达数据库!$A:$A,[1]邦达数据库!$C:$C)</f>
        <v>#N/A</v>
      </c>
    </row>
    <row r="1628" ht="30" customHeight="1" spans="1:6">
      <c r="A1628" s="2" t="s">
        <v>3500</v>
      </c>
      <c r="B1628" s="3" t="s">
        <v>3501</v>
      </c>
      <c r="C1628" s="3" t="s">
        <v>318</v>
      </c>
      <c r="D1628" s="3" t="s">
        <v>3502</v>
      </c>
      <c r="E1628" s="3" t="s">
        <v>3503</v>
      </c>
      <c r="F1628" t="e">
        <f>_xlfn.XLOOKUP(A1628,[1]邦达数据库!$A:$A,[1]邦达数据库!$C:$C)</f>
        <v>#N/A</v>
      </c>
    </row>
    <row r="1629" ht="30" customHeight="1" spans="1:6">
      <c r="A1629" s="4" t="s">
        <v>3504</v>
      </c>
      <c r="B1629" s="5" t="s">
        <v>3505</v>
      </c>
      <c r="C1629" s="5" t="s">
        <v>242</v>
      </c>
      <c r="D1629" s="5" t="s">
        <v>3506</v>
      </c>
      <c r="E1629" s="5" t="s">
        <v>3507</v>
      </c>
      <c r="F1629" t="e">
        <f>_xlfn.XLOOKUP(A1629,[1]邦达数据库!$A:$A,[1]邦达数据库!$C:$C)</f>
        <v>#N/A</v>
      </c>
    </row>
    <row r="1630" ht="30" customHeight="1" spans="1:6">
      <c r="A1630" s="2" t="s">
        <v>3508</v>
      </c>
      <c r="B1630" s="3" t="s">
        <v>3505</v>
      </c>
      <c r="C1630" s="3" t="s">
        <v>242</v>
      </c>
      <c r="D1630" s="3" t="s">
        <v>124</v>
      </c>
      <c r="E1630" s="3" t="s">
        <v>125</v>
      </c>
      <c r="F1630" t="e">
        <f>_xlfn.XLOOKUP(A1630,[1]邦达数据库!$A:$A,[1]邦达数据库!$C:$C)</f>
        <v>#N/A</v>
      </c>
    </row>
    <row r="1631" ht="30" customHeight="1" spans="1:6">
      <c r="A1631" s="4" t="s">
        <v>3509</v>
      </c>
      <c r="B1631" s="5" t="s">
        <v>3505</v>
      </c>
      <c r="C1631" s="5" t="s">
        <v>242</v>
      </c>
      <c r="D1631" s="5" t="s">
        <v>436</v>
      </c>
      <c r="E1631" s="5" t="s">
        <v>437</v>
      </c>
      <c r="F1631" t="e">
        <f>_xlfn.XLOOKUP(A1631,[1]邦达数据库!$A:$A,[1]邦达数据库!$C:$C)</f>
        <v>#N/A</v>
      </c>
    </row>
    <row r="1632" ht="30" customHeight="1" spans="1:6">
      <c r="A1632" s="2" t="s">
        <v>3510</v>
      </c>
      <c r="B1632" s="3" t="s">
        <v>3505</v>
      </c>
      <c r="C1632" s="3" t="s">
        <v>242</v>
      </c>
      <c r="D1632" s="3" t="s">
        <v>3511</v>
      </c>
      <c r="E1632" s="3" t="s">
        <v>3512</v>
      </c>
      <c r="F1632" t="e">
        <f>_xlfn.XLOOKUP(A1632,[1]邦达数据库!$A:$A,[1]邦达数据库!$C:$C)</f>
        <v>#N/A</v>
      </c>
    </row>
    <row r="1633" ht="30" customHeight="1" spans="1:6">
      <c r="A1633" s="4" t="s">
        <v>3513</v>
      </c>
      <c r="B1633" s="5" t="s">
        <v>3505</v>
      </c>
      <c r="C1633" s="5" t="s">
        <v>242</v>
      </c>
      <c r="D1633" s="5" t="s">
        <v>1347</v>
      </c>
      <c r="E1633" s="5" t="s">
        <v>1348</v>
      </c>
      <c r="F1633" t="e">
        <f>_xlfn.XLOOKUP(A1633,[1]邦达数据库!$A:$A,[1]邦达数据库!$C:$C)</f>
        <v>#N/A</v>
      </c>
    </row>
    <row r="1634" ht="30" customHeight="1" spans="1:6">
      <c r="A1634" s="2" t="s">
        <v>3514</v>
      </c>
      <c r="B1634" s="3" t="s">
        <v>3505</v>
      </c>
      <c r="C1634" s="3" t="s">
        <v>242</v>
      </c>
      <c r="D1634" s="3" t="s">
        <v>3506</v>
      </c>
      <c r="E1634" s="3" t="s">
        <v>3507</v>
      </c>
      <c r="F1634" t="e">
        <f>_xlfn.XLOOKUP(A1634,[1]邦达数据库!$A:$A,[1]邦达数据库!$C:$C)</f>
        <v>#N/A</v>
      </c>
    </row>
    <row r="1635" ht="30" customHeight="1" spans="1:6">
      <c r="A1635" s="4" t="s">
        <v>3515</v>
      </c>
      <c r="B1635" s="5" t="s">
        <v>3505</v>
      </c>
      <c r="C1635" s="5" t="s">
        <v>242</v>
      </c>
      <c r="D1635" s="5" t="s">
        <v>436</v>
      </c>
      <c r="E1635" s="5" t="s">
        <v>437</v>
      </c>
      <c r="F1635" t="e">
        <f>_xlfn.XLOOKUP(A1635,[1]邦达数据库!$A:$A,[1]邦达数据库!$C:$C)</f>
        <v>#N/A</v>
      </c>
    </row>
    <row r="1636" ht="30" customHeight="1" spans="1:6">
      <c r="A1636" s="2" t="s">
        <v>3516</v>
      </c>
      <c r="B1636" s="3" t="s">
        <v>3505</v>
      </c>
      <c r="C1636" s="3" t="s">
        <v>242</v>
      </c>
      <c r="D1636" s="3" t="s">
        <v>436</v>
      </c>
      <c r="E1636" s="3" t="s">
        <v>437</v>
      </c>
      <c r="F1636" t="e">
        <f>_xlfn.XLOOKUP(A1636,[1]邦达数据库!$A:$A,[1]邦达数据库!$C:$C)</f>
        <v>#N/A</v>
      </c>
    </row>
    <row r="1637" ht="30" customHeight="1" spans="1:6">
      <c r="A1637" s="4" t="s">
        <v>3517</v>
      </c>
      <c r="B1637" s="5" t="s">
        <v>3518</v>
      </c>
      <c r="C1637" s="5" t="s">
        <v>1946</v>
      </c>
      <c r="D1637" s="5" t="s">
        <v>3519</v>
      </c>
      <c r="E1637" s="5" t="s">
        <v>3520</v>
      </c>
      <c r="F1637" t="e">
        <f>_xlfn.XLOOKUP(A1637,[1]邦达数据库!$A:$A,[1]邦达数据库!$C:$C)</f>
        <v>#N/A</v>
      </c>
    </row>
    <row r="1638" ht="30" customHeight="1" spans="1:6">
      <c r="A1638" s="2" t="s">
        <v>3521</v>
      </c>
      <c r="B1638" s="3" t="s">
        <v>3430</v>
      </c>
      <c r="C1638" s="3" t="s">
        <v>1467</v>
      </c>
      <c r="D1638" s="3" t="s">
        <v>1890</v>
      </c>
      <c r="E1638" s="3" t="s">
        <v>1891</v>
      </c>
      <c r="F1638" t="e">
        <f>_xlfn.XLOOKUP(A1638,[1]邦达数据库!$A:$A,[1]邦达数据库!$C:$C)</f>
        <v>#N/A</v>
      </c>
    </row>
    <row r="1639" ht="30" customHeight="1" spans="1:6">
      <c r="A1639" s="4" t="s">
        <v>3522</v>
      </c>
      <c r="B1639" s="5" t="s">
        <v>3430</v>
      </c>
      <c r="C1639" s="5" t="s">
        <v>1467</v>
      </c>
      <c r="D1639" s="5" t="s">
        <v>117</v>
      </c>
      <c r="E1639" s="5" t="s">
        <v>118</v>
      </c>
      <c r="F1639" t="e">
        <f>_xlfn.XLOOKUP(A1639,[1]邦达数据库!$A:$A,[1]邦达数据库!$C:$C)</f>
        <v>#N/A</v>
      </c>
    </row>
    <row r="1640" ht="30" customHeight="1" spans="1:6">
      <c r="A1640" s="2" t="s">
        <v>3523</v>
      </c>
      <c r="B1640" s="3" t="s">
        <v>3430</v>
      </c>
      <c r="C1640" s="3" t="s">
        <v>1467</v>
      </c>
      <c r="D1640" s="3" t="s">
        <v>3524</v>
      </c>
      <c r="E1640" s="3" t="s">
        <v>3525</v>
      </c>
      <c r="F1640" t="e">
        <f>_xlfn.XLOOKUP(A1640,[1]邦达数据库!$A:$A,[1]邦达数据库!$C:$C)</f>
        <v>#N/A</v>
      </c>
    </row>
    <row r="1641" ht="30" customHeight="1" spans="1:6">
      <c r="A1641" s="4" t="s">
        <v>3526</v>
      </c>
      <c r="B1641" s="5" t="s">
        <v>3527</v>
      </c>
      <c r="C1641" s="5" t="s">
        <v>221</v>
      </c>
      <c r="D1641" s="5" t="s">
        <v>250</v>
      </c>
      <c r="E1641" s="5" t="s">
        <v>251</v>
      </c>
      <c r="F1641" t="e">
        <f>_xlfn.XLOOKUP(A1641,[1]邦达数据库!$A:$A,[1]邦达数据库!$C:$C)</f>
        <v>#N/A</v>
      </c>
    </row>
    <row r="1642" ht="30" customHeight="1" spans="1:6">
      <c r="A1642" s="2" t="s">
        <v>3528</v>
      </c>
      <c r="B1642" s="3" t="s">
        <v>3529</v>
      </c>
      <c r="C1642" s="3" t="s">
        <v>3208</v>
      </c>
      <c r="D1642" s="3" t="s">
        <v>326</v>
      </c>
      <c r="E1642" s="3" t="s">
        <v>327</v>
      </c>
      <c r="F1642" t="e">
        <f>_xlfn.XLOOKUP(A1642,[1]邦达数据库!$A:$A,[1]邦达数据库!$C:$C)</f>
        <v>#N/A</v>
      </c>
    </row>
    <row r="1643" ht="30" customHeight="1" spans="1:6">
      <c r="A1643" s="4" t="s">
        <v>3530</v>
      </c>
      <c r="B1643" s="5" t="s">
        <v>1473</v>
      </c>
      <c r="C1643" s="5" t="s">
        <v>1477</v>
      </c>
      <c r="D1643" s="5" t="s">
        <v>687</v>
      </c>
      <c r="E1643" s="5" t="s">
        <v>688</v>
      </c>
      <c r="F1643" t="e">
        <f>_xlfn.XLOOKUP(A1643,[1]邦达数据库!$A:$A,[1]邦达数据库!$C:$C)</f>
        <v>#N/A</v>
      </c>
    </row>
    <row r="1644" ht="30" customHeight="1" spans="1:6">
      <c r="A1644" s="2" t="s">
        <v>3531</v>
      </c>
      <c r="B1644" s="3" t="s">
        <v>3532</v>
      </c>
      <c r="C1644" s="3" t="s">
        <v>17</v>
      </c>
      <c r="D1644" s="3" t="s">
        <v>518</v>
      </c>
      <c r="E1644" s="3" t="s">
        <v>519</v>
      </c>
      <c r="F1644" t="e">
        <f>_xlfn.XLOOKUP(A1644,[1]邦达数据库!$A:$A,[1]邦达数据库!$C:$C)</f>
        <v>#N/A</v>
      </c>
    </row>
    <row r="1645" ht="30" customHeight="1" spans="1:6">
      <c r="A1645" s="4" t="s">
        <v>3533</v>
      </c>
      <c r="B1645" s="5" t="s">
        <v>3532</v>
      </c>
      <c r="C1645" s="5" t="s">
        <v>17</v>
      </c>
      <c r="D1645" s="5" t="s">
        <v>518</v>
      </c>
      <c r="E1645" s="5" t="s">
        <v>519</v>
      </c>
      <c r="F1645" t="e">
        <f>_xlfn.XLOOKUP(A1645,[1]邦达数据库!$A:$A,[1]邦达数据库!$C:$C)</f>
        <v>#N/A</v>
      </c>
    </row>
    <row r="1646" ht="30" customHeight="1" spans="1:6">
      <c r="A1646" s="2" t="s">
        <v>3534</v>
      </c>
      <c r="B1646" s="3" t="s">
        <v>3535</v>
      </c>
      <c r="C1646" s="3" t="s">
        <v>3150</v>
      </c>
      <c r="D1646" s="3" t="s">
        <v>2096</v>
      </c>
      <c r="E1646" s="3" t="s">
        <v>2097</v>
      </c>
      <c r="F1646" t="str">
        <f>_xlfn.XLOOKUP(A1646,[1]邦达数据库!$A:$A,[1]邦达数据库!$C:$C)</f>
        <v>7616.99.9099</v>
      </c>
    </row>
    <row r="1647" ht="30" customHeight="1" spans="1:6">
      <c r="A1647" s="4" t="s">
        <v>3536</v>
      </c>
      <c r="B1647" s="5" t="s">
        <v>3535</v>
      </c>
      <c r="C1647" s="5" t="s">
        <v>3150</v>
      </c>
      <c r="D1647" s="5" t="s">
        <v>3151</v>
      </c>
      <c r="E1647" s="5" t="s">
        <v>3152</v>
      </c>
      <c r="F1647" t="e">
        <f>_xlfn.XLOOKUP(A1647,[1]邦达数据库!$A:$A,[1]邦达数据库!$C:$C)</f>
        <v>#N/A</v>
      </c>
    </row>
    <row r="1648" ht="30" customHeight="1" spans="1:6">
      <c r="A1648" s="2" t="s">
        <v>3537</v>
      </c>
      <c r="B1648" s="3" t="s">
        <v>3538</v>
      </c>
      <c r="C1648" s="3" t="s">
        <v>2294</v>
      </c>
      <c r="D1648" s="3" t="s">
        <v>3151</v>
      </c>
      <c r="E1648" s="3" t="s">
        <v>3152</v>
      </c>
      <c r="F1648" t="str">
        <f>_xlfn.XLOOKUP(A1648,[1]邦达数据库!$A:$A,[1]邦达数据库!$C:$C)</f>
        <v>7616.99.9099</v>
      </c>
    </row>
    <row r="1649" ht="30" customHeight="1" spans="1:6">
      <c r="A1649" s="4" t="s">
        <v>3539</v>
      </c>
      <c r="B1649" s="5" t="s">
        <v>3538</v>
      </c>
      <c r="C1649" s="5" t="s">
        <v>2294</v>
      </c>
      <c r="D1649" s="5" t="s">
        <v>3151</v>
      </c>
      <c r="E1649" s="5" t="s">
        <v>3152</v>
      </c>
      <c r="F1649" t="str">
        <f>_xlfn.XLOOKUP(A1649,[1]邦达数据库!$A:$A,[1]邦达数据库!$C:$C)</f>
        <v>7616.99.9099</v>
      </c>
    </row>
    <row r="1650" ht="30" customHeight="1" spans="1:6">
      <c r="A1650" s="2" t="s">
        <v>3540</v>
      </c>
      <c r="B1650" s="3" t="s">
        <v>3538</v>
      </c>
      <c r="C1650" s="3" t="s">
        <v>2294</v>
      </c>
      <c r="D1650" s="3" t="s">
        <v>3151</v>
      </c>
      <c r="E1650" s="3" t="s">
        <v>3152</v>
      </c>
      <c r="F1650" t="str">
        <f>_xlfn.XLOOKUP(A1650,[1]邦达数据库!$A:$A,[1]邦达数据库!$C:$C)</f>
        <v>7616.99.9099</v>
      </c>
    </row>
    <row r="1651" ht="30" customHeight="1" spans="1:6">
      <c r="A1651" s="4" t="s">
        <v>3541</v>
      </c>
      <c r="B1651" s="5" t="s">
        <v>3542</v>
      </c>
      <c r="C1651" s="5" t="s">
        <v>685</v>
      </c>
      <c r="D1651" s="5" t="s">
        <v>3543</v>
      </c>
      <c r="E1651" s="5" t="s">
        <v>3544</v>
      </c>
      <c r="F1651" t="e">
        <f>_xlfn.XLOOKUP(A1651,[1]邦达数据库!$A:$A,[1]邦达数据库!$C:$C)</f>
        <v>#N/A</v>
      </c>
    </row>
    <row r="1652" ht="30" customHeight="1" spans="1:6">
      <c r="A1652" s="2" t="s">
        <v>3545</v>
      </c>
      <c r="B1652" s="3" t="s">
        <v>3542</v>
      </c>
      <c r="C1652" s="3" t="s">
        <v>3546</v>
      </c>
      <c r="D1652" s="3" t="s">
        <v>211</v>
      </c>
      <c r="E1652" s="3" t="s">
        <v>212</v>
      </c>
      <c r="F1652" t="e">
        <f>_xlfn.XLOOKUP(A1652,[1]邦达数据库!$A:$A,[1]邦达数据库!$C:$C)</f>
        <v>#N/A</v>
      </c>
    </row>
    <row r="1653" ht="30" customHeight="1" spans="1:6">
      <c r="A1653" s="4" t="s">
        <v>3547</v>
      </c>
      <c r="B1653" s="5" t="s">
        <v>3542</v>
      </c>
      <c r="C1653" s="5" t="s">
        <v>685</v>
      </c>
      <c r="D1653" s="5" t="s">
        <v>3366</v>
      </c>
      <c r="E1653" s="5" t="s">
        <v>3367</v>
      </c>
      <c r="F1653" t="e">
        <f>_xlfn.XLOOKUP(A1653,[1]邦达数据库!$A:$A,[1]邦达数据库!$C:$C)</f>
        <v>#N/A</v>
      </c>
    </row>
    <row r="1654" ht="30" customHeight="1" spans="1:6">
      <c r="A1654" s="2" t="s">
        <v>3548</v>
      </c>
      <c r="B1654" s="3" t="s">
        <v>3542</v>
      </c>
      <c r="C1654" s="3" t="s">
        <v>3546</v>
      </c>
      <c r="D1654" s="3" t="s">
        <v>211</v>
      </c>
      <c r="E1654" s="3" t="s">
        <v>212</v>
      </c>
      <c r="F1654" t="e">
        <f>_xlfn.XLOOKUP(A1654,[1]邦达数据库!$A:$A,[1]邦达数据库!$C:$C)</f>
        <v>#N/A</v>
      </c>
    </row>
    <row r="1655" ht="30" customHeight="1" spans="1:6">
      <c r="A1655" s="4" t="s">
        <v>3549</v>
      </c>
      <c r="B1655" s="5" t="s">
        <v>3542</v>
      </c>
      <c r="C1655" s="5" t="s">
        <v>3550</v>
      </c>
      <c r="D1655" s="5" t="s">
        <v>687</v>
      </c>
      <c r="E1655" s="5" t="s">
        <v>688</v>
      </c>
      <c r="F1655" t="e">
        <f>_xlfn.XLOOKUP(A1655,[1]邦达数据库!$A:$A,[1]邦达数据库!$C:$C)</f>
        <v>#N/A</v>
      </c>
    </row>
    <row r="1656" ht="30" customHeight="1" spans="1:6">
      <c r="A1656" s="2" t="s">
        <v>3551</v>
      </c>
      <c r="B1656" s="3" t="s">
        <v>3542</v>
      </c>
      <c r="C1656" s="3" t="s">
        <v>3546</v>
      </c>
      <c r="D1656" s="3" t="s">
        <v>582</v>
      </c>
      <c r="E1656" s="3" t="s">
        <v>583</v>
      </c>
      <c r="F1656" t="e">
        <f>_xlfn.XLOOKUP(A1656,[1]邦达数据库!$A:$A,[1]邦达数据库!$C:$C)</f>
        <v>#N/A</v>
      </c>
    </row>
    <row r="1657" ht="30" customHeight="1" spans="1:6">
      <c r="A1657" s="4" t="s">
        <v>3552</v>
      </c>
      <c r="B1657" s="5" t="s">
        <v>3542</v>
      </c>
      <c r="C1657" s="5" t="s">
        <v>685</v>
      </c>
      <c r="D1657" s="5" t="s">
        <v>507</v>
      </c>
      <c r="E1657" s="5" t="s">
        <v>508</v>
      </c>
      <c r="F1657" t="str">
        <f>_xlfn.XLOOKUP(A1657,[1]邦达数据库!$A:$A,[1]邦达数据库!$C:$C)</f>
        <v>3926.90.9790</v>
      </c>
    </row>
    <row r="1658" ht="30" customHeight="1" spans="1:6">
      <c r="A1658" s="2" t="s">
        <v>3553</v>
      </c>
      <c r="B1658" s="3" t="s">
        <v>3542</v>
      </c>
      <c r="C1658" s="3" t="s">
        <v>3554</v>
      </c>
      <c r="D1658" s="3" t="s">
        <v>73</v>
      </c>
      <c r="E1658" s="3" t="s">
        <v>74</v>
      </c>
      <c r="F1658" t="e">
        <f>_xlfn.XLOOKUP(A1658,[1]邦达数据库!$A:$A,[1]邦达数据库!$C:$C)</f>
        <v>#N/A</v>
      </c>
    </row>
    <row r="1659" ht="30" customHeight="1" spans="1:6">
      <c r="A1659" s="4" t="s">
        <v>3555</v>
      </c>
      <c r="B1659" s="5" t="s">
        <v>3556</v>
      </c>
      <c r="C1659" s="5" t="s">
        <v>1467</v>
      </c>
      <c r="D1659" s="5" t="s">
        <v>524</v>
      </c>
      <c r="E1659" s="5" t="s">
        <v>525</v>
      </c>
      <c r="F1659" t="e">
        <f>_xlfn.XLOOKUP(A1659,[1]邦达数据库!$A:$A,[1]邦达数据库!$C:$C)</f>
        <v>#N/A</v>
      </c>
    </row>
    <row r="1660" ht="30" customHeight="1" spans="1:6">
      <c r="A1660" s="2" t="s">
        <v>3557</v>
      </c>
      <c r="B1660" s="3" t="s">
        <v>3558</v>
      </c>
      <c r="C1660" s="3" t="s">
        <v>3559</v>
      </c>
      <c r="D1660" s="3" t="s">
        <v>1151</v>
      </c>
      <c r="E1660" s="3" t="s">
        <v>1152</v>
      </c>
      <c r="F1660" t="e">
        <f>_xlfn.XLOOKUP(A1660,[1]邦达数据库!$A:$A,[1]邦达数据库!$C:$C)</f>
        <v>#N/A</v>
      </c>
    </row>
    <row r="1661" ht="30" customHeight="1" spans="1:6">
      <c r="A1661" s="4" t="s">
        <v>3560</v>
      </c>
      <c r="B1661" s="5" t="s">
        <v>3561</v>
      </c>
      <c r="C1661" s="5" t="s">
        <v>3559</v>
      </c>
      <c r="D1661" s="5" t="s">
        <v>1151</v>
      </c>
      <c r="E1661" s="5" t="s">
        <v>1152</v>
      </c>
      <c r="F1661" t="e">
        <f>_xlfn.XLOOKUP(A1661,[1]邦达数据库!$A:$A,[1]邦达数据库!$C:$C)</f>
        <v>#N/A</v>
      </c>
    </row>
    <row r="1662" ht="30" customHeight="1" spans="1:6">
      <c r="A1662" s="2" t="s">
        <v>3562</v>
      </c>
      <c r="B1662" s="3" t="s">
        <v>3558</v>
      </c>
      <c r="C1662" s="3" t="s">
        <v>3559</v>
      </c>
      <c r="D1662" s="3" t="s">
        <v>1151</v>
      </c>
      <c r="E1662" s="3" t="s">
        <v>1152</v>
      </c>
      <c r="F1662" t="e">
        <f>_xlfn.XLOOKUP(A1662,[1]邦达数据库!$A:$A,[1]邦达数据库!$C:$C)</f>
        <v>#N/A</v>
      </c>
    </row>
    <row r="1663" ht="30" customHeight="1" spans="1:6">
      <c r="A1663" s="4" t="s">
        <v>3563</v>
      </c>
      <c r="B1663" s="5" t="s">
        <v>3564</v>
      </c>
      <c r="C1663" s="5" t="s">
        <v>3045</v>
      </c>
      <c r="D1663" s="5" t="s">
        <v>1920</v>
      </c>
      <c r="E1663" s="5" t="s">
        <v>1921</v>
      </c>
      <c r="F1663" t="str">
        <f>_xlfn.XLOOKUP(A1663,[1]邦达数据库!$A:$A,[1]邦达数据库!$C:$C)</f>
        <v>8465.99.0000</v>
      </c>
    </row>
    <row r="1664" ht="30" customHeight="1" spans="1:6">
      <c r="A1664" s="2" t="s">
        <v>3565</v>
      </c>
      <c r="B1664" s="3" t="s">
        <v>3564</v>
      </c>
      <c r="C1664" s="3" t="s">
        <v>3045</v>
      </c>
      <c r="D1664" s="3" t="s">
        <v>1920</v>
      </c>
      <c r="E1664" s="3" t="s">
        <v>1921</v>
      </c>
      <c r="F1664" t="e">
        <f>_xlfn.XLOOKUP(A1664,[1]邦达数据库!$A:$A,[1]邦达数据库!$C:$C)</f>
        <v>#N/A</v>
      </c>
    </row>
    <row r="1665" ht="30" customHeight="1" spans="1:6">
      <c r="A1665" s="4" t="s">
        <v>3566</v>
      </c>
      <c r="B1665" s="5" t="s">
        <v>3564</v>
      </c>
      <c r="C1665" s="5" t="s">
        <v>3045</v>
      </c>
      <c r="D1665" s="5" t="s">
        <v>1920</v>
      </c>
      <c r="E1665" s="5" t="s">
        <v>1921</v>
      </c>
      <c r="F1665" t="str">
        <f>_xlfn.XLOOKUP(A1665,[1]邦达数据库!$A:$A,[1]邦达数据库!$C:$C)</f>
        <v>8465.99.0000</v>
      </c>
    </row>
    <row r="1666" ht="30" customHeight="1" spans="1:6">
      <c r="A1666" s="2" t="s">
        <v>3567</v>
      </c>
      <c r="B1666" s="3" t="s">
        <v>3564</v>
      </c>
      <c r="C1666" s="3" t="s">
        <v>3045</v>
      </c>
      <c r="D1666" s="3" t="s">
        <v>1920</v>
      </c>
      <c r="E1666" s="3" t="s">
        <v>1921</v>
      </c>
      <c r="F1666" t="str">
        <f>_xlfn.XLOOKUP(A1666,[1]邦达数据库!$A:$A,[1]邦达数据库!$C:$C)</f>
        <v>8465.99.0000</v>
      </c>
    </row>
    <row r="1667" ht="30" customHeight="1" spans="1:6">
      <c r="A1667" s="4" t="s">
        <v>3568</v>
      </c>
      <c r="B1667" s="5" t="s">
        <v>3564</v>
      </c>
      <c r="C1667" s="5" t="s">
        <v>3045</v>
      </c>
      <c r="D1667" s="5" t="s">
        <v>3569</v>
      </c>
      <c r="E1667" s="5" t="s">
        <v>3570</v>
      </c>
      <c r="F1667" t="str">
        <f>_xlfn.XLOOKUP(A1667,[1]邦达数据库!$A:$A,[1]邦达数据库!$C:$C)</f>
        <v>8465.99.0000</v>
      </c>
    </row>
    <row r="1668" ht="30" customHeight="1" spans="1:6">
      <c r="A1668" s="2" t="s">
        <v>3571</v>
      </c>
      <c r="B1668" s="3" t="s">
        <v>3564</v>
      </c>
      <c r="C1668" s="3" t="s">
        <v>3045</v>
      </c>
      <c r="D1668" s="3" t="s">
        <v>1920</v>
      </c>
      <c r="E1668" s="3" t="s">
        <v>1921</v>
      </c>
      <c r="F1668" t="str">
        <f>_xlfn.XLOOKUP(A1668,[1]邦达数据库!$A:$A,[1]邦达数据库!$C:$C)</f>
        <v>8465.99.0000</v>
      </c>
    </row>
    <row r="1669" ht="30" customHeight="1" spans="1:6">
      <c r="A1669" s="4" t="s">
        <v>3572</v>
      </c>
      <c r="B1669" s="5" t="s">
        <v>3564</v>
      </c>
      <c r="C1669" s="5" t="s">
        <v>3045</v>
      </c>
      <c r="D1669" s="5" t="s">
        <v>1920</v>
      </c>
      <c r="E1669" s="5" t="s">
        <v>1921</v>
      </c>
      <c r="F1669" t="e">
        <f>_xlfn.XLOOKUP(A1669,[1]邦达数据库!$A:$A,[1]邦达数据库!$C:$C)</f>
        <v>#N/A</v>
      </c>
    </row>
    <row r="1670" ht="30" customHeight="1" spans="1:6">
      <c r="A1670" s="2" t="s">
        <v>3573</v>
      </c>
      <c r="B1670" s="3" t="s">
        <v>3564</v>
      </c>
      <c r="C1670" s="3" t="s">
        <v>3045</v>
      </c>
      <c r="D1670" s="3" t="s">
        <v>1920</v>
      </c>
      <c r="E1670" s="3" t="s">
        <v>1921</v>
      </c>
      <c r="F1670" t="e">
        <f>_xlfn.XLOOKUP(A1670,[1]邦达数据库!$A:$A,[1]邦达数据库!$C:$C)</f>
        <v>#N/A</v>
      </c>
    </row>
    <row r="1671" ht="30" customHeight="1" spans="1:6">
      <c r="A1671" s="4" t="s">
        <v>3574</v>
      </c>
      <c r="B1671" s="5" t="s">
        <v>3564</v>
      </c>
      <c r="C1671" s="5" t="s">
        <v>3045</v>
      </c>
      <c r="D1671" s="5" t="s">
        <v>518</v>
      </c>
      <c r="E1671" s="5" t="s">
        <v>519</v>
      </c>
      <c r="F1671" t="str">
        <f>_xlfn.XLOOKUP(A1671,[1]邦达数据库!$A:$A,[1]邦达数据库!$C:$C)</f>
        <v>8465.99.0000</v>
      </c>
    </row>
    <row r="1672" ht="30" customHeight="1" spans="1:6">
      <c r="A1672" s="2" t="s">
        <v>3575</v>
      </c>
      <c r="B1672" s="3" t="s">
        <v>3576</v>
      </c>
      <c r="C1672" s="3" t="s">
        <v>3577</v>
      </c>
      <c r="D1672" s="3" t="s">
        <v>1057</v>
      </c>
      <c r="E1672" s="3" t="s">
        <v>1058</v>
      </c>
      <c r="F1672" t="e">
        <f>_xlfn.XLOOKUP(A1672,[1]邦达数据库!$A:$A,[1]邦达数据库!$C:$C)</f>
        <v>#N/A</v>
      </c>
    </row>
    <row r="1673" ht="30" customHeight="1" spans="1:6">
      <c r="A1673" s="4" t="s">
        <v>3578</v>
      </c>
      <c r="B1673" s="5" t="s">
        <v>3576</v>
      </c>
      <c r="C1673" s="5" t="s">
        <v>3577</v>
      </c>
      <c r="D1673" s="5" t="s">
        <v>1057</v>
      </c>
      <c r="E1673" s="5" t="s">
        <v>1058</v>
      </c>
      <c r="F1673" t="e">
        <f>_xlfn.XLOOKUP(A1673,[1]邦达数据库!$A:$A,[1]邦达数据库!$C:$C)</f>
        <v>#N/A</v>
      </c>
    </row>
    <row r="1674" ht="30" customHeight="1" spans="1:6">
      <c r="A1674" s="2" t="s">
        <v>3579</v>
      </c>
      <c r="B1674" s="3" t="s">
        <v>3576</v>
      </c>
      <c r="C1674" s="3" t="s">
        <v>3577</v>
      </c>
      <c r="D1674" s="3" t="s">
        <v>1057</v>
      </c>
      <c r="E1674" s="3" t="s">
        <v>1058</v>
      </c>
      <c r="F1674" t="e">
        <f>_xlfn.XLOOKUP(A1674,[1]邦达数据库!$A:$A,[1]邦达数据库!$C:$C)</f>
        <v>#N/A</v>
      </c>
    </row>
    <row r="1675" ht="30" customHeight="1" spans="1:6">
      <c r="A1675" s="4" t="s">
        <v>3580</v>
      </c>
      <c r="B1675" s="5" t="s">
        <v>3576</v>
      </c>
      <c r="C1675" s="5" t="s">
        <v>3577</v>
      </c>
      <c r="D1675" s="5" t="s">
        <v>1057</v>
      </c>
      <c r="E1675" s="5" t="s">
        <v>1058</v>
      </c>
      <c r="F1675" t="e">
        <f>_xlfn.XLOOKUP(A1675,[1]邦达数据库!$A:$A,[1]邦达数据库!$C:$C)</f>
        <v>#N/A</v>
      </c>
    </row>
    <row r="1676" ht="30" customHeight="1" spans="1:6">
      <c r="A1676" s="2" t="s">
        <v>3581</v>
      </c>
      <c r="B1676" s="3" t="s">
        <v>3582</v>
      </c>
      <c r="C1676" s="3" t="s">
        <v>3583</v>
      </c>
      <c r="D1676" s="3" t="s">
        <v>319</v>
      </c>
      <c r="E1676" s="3" t="s">
        <v>320</v>
      </c>
      <c r="F1676" t="e">
        <f>_xlfn.XLOOKUP(A1676,[1]邦达数据库!$A:$A,[1]邦达数据库!$C:$C)</f>
        <v>#N/A</v>
      </c>
    </row>
    <row r="1677" ht="30" customHeight="1" spans="1:6">
      <c r="A1677" s="2" t="s">
        <v>3584</v>
      </c>
      <c r="B1677" s="3" t="s">
        <v>3585</v>
      </c>
      <c r="C1677" s="3" t="s">
        <v>2286</v>
      </c>
      <c r="D1677" s="3" t="s">
        <v>568</v>
      </c>
      <c r="E1677" s="3" t="s">
        <v>569</v>
      </c>
      <c r="F1677" t="e">
        <f>_xlfn.XLOOKUP(A1677,[1]邦达数据库!$A:$A,[1]邦达数据库!$C:$C)</f>
        <v>#N/A</v>
      </c>
    </row>
    <row r="1678" ht="30" customHeight="1" spans="1:6">
      <c r="A1678" s="4" t="s">
        <v>3586</v>
      </c>
      <c r="B1678" s="5" t="s">
        <v>3585</v>
      </c>
      <c r="C1678" s="5" t="s">
        <v>2286</v>
      </c>
      <c r="D1678" s="5" t="s">
        <v>1052</v>
      </c>
      <c r="E1678" s="5" t="s">
        <v>1053</v>
      </c>
      <c r="F1678" t="e">
        <f>_xlfn.XLOOKUP(A1678,[1]邦达数据库!$A:$A,[1]邦达数据库!$C:$C)</f>
        <v>#N/A</v>
      </c>
    </row>
    <row r="1679" ht="30" customHeight="1" spans="1:6">
      <c r="A1679" s="2" t="s">
        <v>3587</v>
      </c>
      <c r="B1679" s="3" t="s">
        <v>283</v>
      </c>
      <c r="C1679" s="3" t="s">
        <v>284</v>
      </c>
      <c r="D1679" s="3" t="s">
        <v>149</v>
      </c>
      <c r="E1679" s="3" t="s">
        <v>150</v>
      </c>
      <c r="F1679" t="e">
        <f>_xlfn.XLOOKUP(A1679,[1]邦达数据库!$A:$A,[1]邦达数据库!$C:$C)</f>
        <v>#N/A</v>
      </c>
    </row>
    <row r="1680" ht="30" customHeight="1" spans="1:6">
      <c r="A1680" s="4" t="s">
        <v>3588</v>
      </c>
      <c r="B1680" s="5" t="s">
        <v>283</v>
      </c>
      <c r="C1680" s="5" t="s">
        <v>284</v>
      </c>
      <c r="D1680" s="5" t="s">
        <v>1222</v>
      </c>
      <c r="E1680" s="5" t="s">
        <v>1223</v>
      </c>
      <c r="F1680" t="e">
        <f>_xlfn.XLOOKUP(A1680,[1]邦达数据库!$A:$A,[1]邦达数据库!$C:$C)</f>
        <v>#N/A</v>
      </c>
    </row>
    <row r="1681" ht="30" customHeight="1" spans="1:6">
      <c r="A1681" s="2" t="s">
        <v>3589</v>
      </c>
      <c r="B1681" s="3" t="s">
        <v>3590</v>
      </c>
      <c r="C1681" s="3" t="s">
        <v>1045</v>
      </c>
      <c r="D1681" s="3" t="s">
        <v>1285</v>
      </c>
      <c r="E1681" s="3" t="s">
        <v>1286</v>
      </c>
      <c r="F1681" t="e">
        <f>_xlfn.XLOOKUP(A1681,[1]邦达数据库!$A:$A,[1]邦达数据库!$C:$C)</f>
        <v>#N/A</v>
      </c>
    </row>
    <row r="1682" ht="30" customHeight="1" spans="1:6">
      <c r="A1682" s="4" t="s">
        <v>3591</v>
      </c>
      <c r="B1682" s="5" t="s">
        <v>2274</v>
      </c>
      <c r="C1682" s="5" t="s">
        <v>3592</v>
      </c>
      <c r="D1682" s="5" t="s">
        <v>1659</v>
      </c>
      <c r="E1682" s="5" t="s">
        <v>1660</v>
      </c>
      <c r="F1682" t="e">
        <f>_xlfn.XLOOKUP(A1682,[1]邦达数据库!$A:$A,[1]邦达数据库!$C:$C)</f>
        <v>#N/A</v>
      </c>
    </row>
    <row r="1683" ht="30" customHeight="1" spans="1:6">
      <c r="A1683" s="2" t="s">
        <v>3593</v>
      </c>
      <c r="B1683" s="3" t="s">
        <v>3594</v>
      </c>
      <c r="C1683" s="3" t="s">
        <v>2281</v>
      </c>
      <c r="D1683" s="3" t="s">
        <v>2282</v>
      </c>
      <c r="E1683" s="3" t="s">
        <v>2283</v>
      </c>
      <c r="F1683" t="e">
        <f>_xlfn.XLOOKUP(A1683,[1]邦达数据库!$A:$A,[1]邦达数据库!$C:$C)</f>
        <v>#N/A</v>
      </c>
    </row>
    <row r="1684" ht="30" customHeight="1" spans="1:6">
      <c r="A1684" s="4" t="s">
        <v>3595</v>
      </c>
      <c r="B1684" s="5" t="s">
        <v>3596</v>
      </c>
      <c r="C1684" s="5" t="s">
        <v>2281</v>
      </c>
      <c r="D1684" s="5" t="s">
        <v>588</v>
      </c>
      <c r="E1684" s="5" t="s">
        <v>589</v>
      </c>
      <c r="F1684" t="e">
        <f>_xlfn.XLOOKUP(A1684,[1]邦达数据库!$A:$A,[1]邦达数据库!$C:$C)</f>
        <v>#N/A</v>
      </c>
    </row>
    <row r="1685" ht="30" customHeight="1" spans="1:6">
      <c r="A1685" s="2" t="s">
        <v>3597</v>
      </c>
      <c r="B1685" s="3" t="s">
        <v>3598</v>
      </c>
      <c r="C1685" s="3" t="s">
        <v>46</v>
      </c>
      <c r="D1685" s="3" t="s">
        <v>256</v>
      </c>
      <c r="E1685" s="3" t="s">
        <v>257</v>
      </c>
      <c r="F1685" t="e">
        <f>_xlfn.XLOOKUP(A1685,[1]邦达数据库!$A:$A,[1]邦达数据库!$C:$C)</f>
        <v>#N/A</v>
      </c>
    </row>
    <row r="1686" ht="30" customHeight="1" spans="1:6">
      <c r="A1686" s="4" t="s">
        <v>3599</v>
      </c>
      <c r="B1686" s="5" t="s">
        <v>3600</v>
      </c>
      <c r="C1686" s="5" t="s">
        <v>1284</v>
      </c>
      <c r="D1686" s="5" t="s">
        <v>357</v>
      </c>
      <c r="E1686" s="5" t="s">
        <v>358</v>
      </c>
      <c r="F1686" t="e">
        <f>_xlfn.XLOOKUP(A1686,[1]邦达数据库!$A:$A,[1]邦达数据库!$C:$C)</f>
        <v>#N/A</v>
      </c>
    </row>
    <row r="1687" ht="30" customHeight="1" spans="1:6">
      <c r="A1687" s="2" t="s">
        <v>3601</v>
      </c>
      <c r="B1687" s="3" t="s">
        <v>3602</v>
      </c>
      <c r="C1687" s="3" t="s">
        <v>17</v>
      </c>
      <c r="D1687" s="3" t="s">
        <v>1783</v>
      </c>
      <c r="E1687" s="3" t="s">
        <v>1784</v>
      </c>
      <c r="F1687" t="e">
        <f>_xlfn.XLOOKUP(A1687,[1]邦达数据库!$A:$A,[1]邦达数据库!$C:$C)</f>
        <v>#N/A</v>
      </c>
    </row>
    <row r="1688" ht="30" customHeight="1" spans="1:6">
      <c r="A1688" s="4" t="s">
        <v>3603</v>
      </c>
      <c r="B1688" s="5" t="s">
        <v>3602</v>
      </c>
      <c r="C1688" s="5" t="s">
        <v>17</v>
      </c>
      <c r="D1688" s="5" t="s">
        <v>1783</v>
      </c>
      <c r="E1688" s="5" t="s">
        <v>1784</v>
      </c>
      <c r="F1688" t="e">
        <f>_xlfn.XLOOKUP(A1688,[1]邦达数据库!$A:$A,[1]邦达数据库!$C:$C)</f>
        <v>#N/A</v>
      </c>
    </row>
    <row r="1689" ht="30" customHeight="1" spans="1:6">
      <c r="A1689" s="2" t="s">
        <v>3604</v>
      </c>
      <c r="B1689" s="3" t="s">
        <v>864</v>
      </c>
      <c r="C1689" s="3" t="s">
        <v>3150</v>
      </c>
      <c r="D1689" s="3" t="s">
        <v>271</v>
      </c>
      <c r="E1689" s="3" t="s">
        <v>272</v>
      </c>
      <c r="F1689" t="e">
        <f>_xlfn.XLOOKUP(A1689,[1]邦达数据库!$A:$A,[1]邦达数据库!$C:$C)</f>
        <v>#N/A</v>
      </c>
    </row>
    <row r="1690" ht="30" customHeight="1" spans="1:6">
      <c r="A1690" s="4" t="s">
        <v>3605</v>
      </c>
      <c r="B1690" s="5" t="s">
        <v>864</v>
      </c>
      <c r="C1690" s="5" t="s">
        <v>3150</v>
      </c>
      <c r="D1690" s="5" t="s">
        <v>428</v>
      </c>
      <c r="E1690" s="5" t="s">
        <v>429</v>
      </c>
      <c r="F1690" t="e">
        <f>_xlfn.XLOOKUP(A1690,[1]邦达数据库!$A:$A,[1]邦达数据库!$C:$C)</f>
        <v>#N/A</v>
      </c>
    </row>
    <row r="1691" ht="30" customHeight="1" spans="1:6">
      <c r="A1691" s="2" t="s">
        <v>3606</v>
      </c>
      <c r="B1691" s="3" t="s">
        <v>864</v>
      </c>
      <c r="C1691" s="3" t="s">
        <v>3150</v>
      </c>
      <c r="D1691" s="3" t="s">
        <v>794</v>
      </c>
      <c r="E1691" s="3" t="s">
        <v>795</v>
      </c>
      <c r="F1691" t="e">
        <f>_xlfn.XLOOKUP(A1691,[1]邦达数据库!$A:$A,[1]邦达数据库!$C:$C)</f>
        <v>#N/A</v>
      </c>
    </row>
    <row r="1692" ht="30" customHeight="1" spans="1:6">
      <c r="A1692" s="4" t="s">
        <v>3607</v>
      </c>
      <c r="B1692" s="5" t="s">
        <v>864</v>
      </c>
      <c r="C1692" s="5" t="s">
        <v>3150</v>
      </c>
      <c r="D1692" s="5" t="s">
        <v>794</v>
      </c>
      <c r="E1692" s="5" t="s">
        <v>795</v>
      </c>
      <c r="F1692" t="e">
        <f>_xlfn.XLOOKUP(A1692,[1]邦达数据库!$A:$A,[1]邦达数据库!$C:$C)</f>
        <v>#N/A</v>
      </c>
    </row>
    <row r="1693" ht="30" customHeight="1" spans="1:6">
      <c r="A1693" s="2" t="s">
        <v>3608</v>
      </c>
      <c r="B1693" s="3" t="s">
        <v>864</v>
      </c>
      <c r="C1693" s="3" t="s">
        <v>3150</v>
      </c>
      <c r="D1693" s="3" t="s">
        <v>1285</v>
      </c>
      <c r="E1693" s="3" t="s">
        <v>1286</v>
      </c>
      <c r="F1693" t="e">
        <f>_xlfn.XLOOKUP(A1693,[1]邦达数据库!$A:$A,[1]邦达数据库!$C:$C)</f>
        <v>#N/A</v>
      </c>
    </row>
    <row r="1694" ht="30" customHeight="1" spans="1:6">
      <c r="A1694" s="4" t="s">
        <v>3609</v>
      </c>
      <c r="B1694" s="5" t="s">
        <v>3610</v>
      </c>
      <c r="C1694" s="5" t="s">
        <v>17</v>
      </c>
      <c r="D1694" s="5" t="s">
        <v>319</v>
      </c>
      <c r="E1694" s="5" t="s">
        <v>320</v>
      </c>
      <c r="F1694" t="e">
        <f>_xlfn.XLOOKUP(A1694,[1]邦达数据库!$A:$A,[1]邦达数据库!$C:$C)</f>
        <v>#N/A</v>
      </c>
    </row>
    <row r="1695" ht="30" customHeight="1" spans="1:6">
      <c r="A1695" s="2" t="s">
        <v>3611</v>
      </c>
      <c r="B1695" s="3" t="s">
        <v>3610</v>
      </c>
      <c r="C1695" s="3" t="s">
        <v>17</v>
      </c>
      <c r="D1695" s="3" t="s">
        <v>1356</v>
      </c>
      <c r="E1695" s="3" t="s">
        <v>1357</v>
      </c>
      <c r="F1695" t="e">
        <f>_xlfn.XLOOKUP(A1695,[1]邦达数据库!$A:$A,[1]邦达数据库!$C:$C)</f>
        <v>#N/A</v>
      </c>
    </row>
    <row r="1696" ht="30" customHeight="1" spans="1:6">
      <c r="A1696" s="4" t="s">
        <v>3612</v>
      </c>
      <c r="B1696" s="5" t="s">
        <v>3613</v>
      </c>
      <c r="C1696" s="5" t="s">
        <v>157</v>
      </c>
      <c r="D1696" s="5" t="s">
        <v>2114</v>
      </c>
      <c r="E1696" s="5" t="s">
        <v>2115</v>
      </c>
      <c r="F1696" t="e">
        <f>_xlfn.XLOOKUP(A1696,[1]邦达数据库!$A:$A,[1]邦达数据库!$C:$C)</f>
        <v>#N/A</v>
      </c>
    </row>
    <row r="1697" ht="30" customHeight="1" spans="1:6">
      <c r="A1697" s="2" t="s">
        <v>3614</v>
      </c>
      <c r="B1697" s="3" t="s">
        <v>3613</v>
      </c>
      <c r="C1697" s="3" t="s">
        <v>157</v>
      </c>
      <c r="D1697" s="3" t="s">
        <v>3615</v>
      </c>
      <c r="E1697" s="3" t="s">
        <v>3616</v>
      </c>
      <c r="F1697" t="e">
        <f>_xlfn.XLOOKUP(A1697,[1]邦达数据库!$A:$A,[1]邦达数据库!$C:$C)</f>
        <v>#N/A</v>
      </c>
    </row>
    <row r="1698" ht="30" customHeight="1" spans="1:6">
      <c r="A1698" s="2" t="s">
        <v>3617</v>
      </c>
      <c r="B1698" s="3" t="s">
        <v>3618</v>
      </c>
      <c r="C1698" s="3" t="s">
        <v>1398</v>
      </c>
      <c r="D1698" s="3" t="s">
        <v>1640</v>
      </c>
      <c r="E1698" s="3" t="s">
        <v>1641</v>
      </c>
      <c r="F1698" t="e">
        <f>_xlfn.XLOOKUP(A1698,[1]邦达数据库!$A:$A,[1]邦达数据库!$C:$C)</f>
        <v>#N/A</v>
      </c>
    </row>
    <row r="1699" ht="30" customHeight="1" spans="1:6">
      <c r="A1699" s="2" t="s">
        <v>3619</v>
      </c>
      <c r="B1699" s="3" t="s">
        <v>3620</v>
      </c>
      <c r="C1699" s="3" t="s">
        <v>443</v>
      </c>
      <c r="D1699" s="3" t="s">
        <v>3621</v>
      </c>
      <c r="E1699" s="3" t="s">
        <v>3622</v>
      </c>
      <c r="F1699" t="e">
        <f>_xlfn.XLOOKUP(A1699,[1]邦达数据库!$A:$A,[1]邦达数据库!$C:$C)</f>
        <v>#N/A</v>
      </c>
    </row>
    <row r="1700" ht="30" customHeight="1" spans="1:6">
      <c r="A1700" s="4" t="s">
        <v>3623</v>
      </c>
      <c r="B1700" s="5" t="s">
        <v>3620</v>
      </c>
      <c r="C1700" s="5" t="s">
        <v>443</v>
      </c>
      <c r="D1700" s="5" t="s">
        <v>507</v>
      </c>
      <c r="E1700" s="5" t="s">
        <v>508</v>
      </c>
      <c r="F1700" t="e">
        <f>_xlfn.XLOOKUP(A1700,[1]邦达数据库!$A:$A,[1]邦达数据库!$C:$C)</f>
        <v>#N/A</v>
      </c>
    </row>
    <row r="1701" ht="30" customHeight="1" spans="1:6">
      <c r="A1701" s="2" t="s">
        <v>3624</v>
      </c>
      <c r="B1701" s="3" t="s">
        <v>3625</v>
      </c>
      <c r="C1701" s="3" t="s">
        <v>3626</v>
      </c>
      <c r="D1701" s="3" t="s">
        <v>223</v>
      </c>
      <c r="E1701" s="3" t="s">
        <v>224</v>
      </c>
      <c r="F1701" t="e">
        <f>_xlfn.XLOOKUP(A1701,[1]邦达数据库!$A:$A,[1]邦达数据库!$C:$C)</f>
        <v>#N/A</v>
      </c>
    </row>
    <row r="1702" ht="30" customHeight="1" spans="1:6">
      <c r="A1702" s="4" t="s">
        <v>3627</v>
      </c>
      <c r="B1702" s="5" t="s">
        <v>3625</v>
      </c>
      <c r="C1702" s="5" t="s">
        <v>3626</v>
      </c>
      <c r="D1702" s="5" t="s">
        <v>223</v>
      </c>
      <c r="E1702" s="5" t="s">
        <v>224</v>
      </c>
      <c r="F1702" t="e">
        <f>_xlfn.XLOOKUP(A1702,[1]邦达数据库!$A:$A,[1]邦达数据库!$C:$C)</f>
        <v>#N/A</v>
      </c>
    </row>
    <row r="1703" ht="30" customHeight="1" spans="1:6">
      <c r="A1703" s="2" t="s">
        <v>3628</v>
      </c>
      <c r="B1703" s="3" t="s">
        <v>3629</v>
      </c>
      <c r="C1703" s="3" t="s">
        <v>17</v>
      </c>
      <c r="D1703" s="3" t="s">
        <v>3630</v>
      </c>
      <c r="E1703" s="3" t="s">
        <v>3631</v>
      </c>
      <c r="F1703" t="e">
        <f>_xlfn.XLOOKUP(A1703,[1]邦达数据库!$A:$A,[1]邦达数据库!$C:$C)</f>
        <v>#N/A</v>
      </c>
    </row>
    <row r="1704" ht="30" customHeight="1" spans="1:6">
      <c r="A1704" s="4" t="s">
        <v>3632</v>
      </c>
      <c r="B1704" s="5" t="s">
        <v>3629</v>
      </c>
      <c r="C1704" s="5" t="s">
        <v>17</v>
      </c>
      <c r="D1704" s="5" t="s">
        <v>1856</v>
      </c>
      <c r="E1704" s="5" t="s">
        <v>1857</v>
      </c>
      <c r="F1704" t="e">
        <f>_xlfn.XLOOKUP(A1704,[1]邦达数据库!$A:$A,[1]邦达数据库!$C:$C)</f>
        <v>#N/A</v>
      </c>
    </row>
    <row r="1705" ht="30" customHeight="1" spans="1:6">
      <c r="A1705" s="2" t="s">
        <v>3633</v>
      </c>
      <c r="B1705" s="3" t="s">
        <v>3629</v>
      </c>
      <c r="C1705" s="3" t="s">
        <v>17</v>
      </c>
      <c r="D1705" s="3" t="s">
        <v>2137</v>
      </c>
      <c r="E1705" s="3" t="s">
        <v>2138</v>
      </c>
      <c r="F1705" t="e">
        <f>_xlfn.XLOOKUP(A1705,[1]邦达数据库!$A:$A,[1]邦达数据库!$C:$C)</f>
        <v>#N/A</v>
      </c>
    </row>
    <row r="1706" ht="30" customHeight="1" spans="1:6">
      <c r="A1706" s="4" t="s">
        <v>3634</v>
      </c>
      <c r="B1706" s="5" t="s">
        <v>3635</v>
      </c>
      <c r="C1706" s="5" t="s">
        <v>17</v>
      </c>
      <c r="D1706" s="5" t="s">
        <v>1356</v>
      </c>
      <c r="E1706" s="5" t="s">
        <v>1357</v>
      </c>
      <c r="F1706" t="e">
        <f>_xlfn.XLOOKUP(A1706,[1]邦达数据库!$A:$A,[1]邦达数据库!$C:$C)</f>
        <v>#N/A</v>
      </c>
    </row>
    <row r="1707" ht="30" customHeight="1" spans="1:6">
      <c r="A1707" s="2" t="s">
        <v>3636</v>
      </c>
      <c r="B1707" s="3" t="s">
        <v>3637</v>
      </c>
      <c r="C1707" s="3" t="s">
        <v>3638</v>
      </c>
      <c r="D1707" s="3" t="s">
        <v>3639</v>
      </c>
      <c r="E1707" s="3" t="s">
        <v>3640</v>
      </c>
      <c r="F1707">
        <f>_xlfn.XLOOKUP(A1707,[1]邦达数据库!$A:$A,[1]邦达数据库!$C:$C)</f>
        <v>8501320099</v>
      </c>
    </row>
    <row r="1708" ht="30" customHeight="1" spans="1:6">
      <c r="A1708" s="4" t="s">
        <v>3641</v>
      </c>
      <c r="B1708" s="5" t="s">
        <v>3642</v>
      </c>
      <c r="C1708" s="5" t="s">
        <v>157</v>
      </c>
      <c r="D1708" s="5" t="s">
        <v>521</v>
      </c>
      <c r="E1708" s="5" t="s">
        <v>522</v>
      </c>
      <c r="F1708" t="e">
        <f>_xlfn.XLOOKUP(A1708,[1]邦达数据库!$A:$A,[1]邦达数据库!$C:$C)</f>
        <v>#N/A</v>
      </c>
    </row>
    <row r="1709" ht="30" customHeight="1" spans="1:6">
      <c r="A1709" s="2" t="s">
        <v>3643</v>
      </c>
      <c r="B1709" s="3" t="s">
        <v>3642</v>
      </c>
      <c r="C1709" s="3" t="s">
        <v>157</v>
      </c>
      <c r="D1709" s="3" t="s">
        <v>521</v>
      </c>
      <c r="E1709" s="3" t="s">
        <v>522</v>
      </c>
      <c r="F1709" t="e">
        <f>_xlfn.XLOOKUP(A1709,[1]邦达数据库!$A:$A,[1]邦达数据库!$C:$C)</f>
        <v>#N/A</v>
      </c>
    </row>
    <row r="1710" ht="30" customHeight="1" spans="1:6">
      <c r="A1710" s="4" t="s">
        <v>3644</v>
      </c>
      <c r="B1710" s="5" t="s">
        <v>3645</v>
      </c>
      <c r="C1710" s="5" t="s">
        <v>3646</v>
      </c>
      <c r="D1710" s="5" t="s">
        <v>250</v>
      </c>
      <c r="E1710" s="5" t="s">
        <v>251</v>
      </c>
      <c r="F1710" t="e">
        <f>_xlfn.XLOOKUP(A1710,[1]邦达数据库!$A:$A,[1]邦达数据库!$C:$C)</f>
        <v>#N/A</v>
      </c>
    </row>
    <row r="1711" ht="30" customHeight="1" spans="1:6">
      <c r="A1711" s="2" t="s">
        <v>3647</v>
      </c>
      <c r="B1711" s="3" t="s">
        <v>3648</v>
      </c>
      <c r="C1711" s="3" t="s">
        <v>255</v>
      </c>
      <c r="D1711" s="3" t="s">
        <v>521</v>
      </c>
      <c r="E1711" s="3" t="s">
        <v>522</v>
      </c>
      <c r="F1711" t="e">
        <f>_xlfn.XLOOKUP(A1711,[1]邦达数据库!$A:$A,[1]邦达数据库!$C:$C)</f>
        <v>#N/A</v>
      </c>
    </row>
    <row r="1712" ht="30" customHeight="1" spans="1:6">
      <c r="A1712" s="4" t="s">
        <v>3649</v>
      </c>
      <c r="B1712" s="5" t="s">
        <v>3650</v>
      </c>
      <c r="C1712" s="5" t="s">
        <v>318</v>
      </c>
      <c r="D1712" s="5" t="s">
        <v>956</v>
      </c>
      <c r="E1712" s="5" t="s">
        <v>957</v>
      </c>
      <c r="F1712" t="e">
        <f>_xlfn.XLOOKUP(A1712,[1]邦达数据库!$A:$A,[1]邦达数据库!$C:$C)</f>
        <v>#N/A</v>
      </c>
    </row>
    <row r="1713" ht="30" customHeight="1" spans="1:6">
      <c r="A1713" s="2" t="s">
        <v>3651</v>
      </c>
      <c r="B1713" s="3" t="s">
        <v>3650</v>
      </c>
      <c r="C1713" s="3" t="s">
        <v>318</v>
      </c>
      <c r="D1713" s="3" t="s">
        <v>2809</v>
      </c>
      <c r="E1713" s="3" t="s">
        <v>2810</v>
      </c>
      <c r="F1713" t="e">
        <f>_xlfn.XLOOKUP(A1713,[1]邦达数据库!$A:$A,[1]邦达数据库!$C:$C)</f>
        <v>#N/A</v>
      </c>
    </row>
    <row r="1714" ht="30" customHeight="1" spans="1:6">
      <c r="A1714" s="4" t="s">
        <v>3652</v>
      </c>
      <c r="B1714" s="5" t="s">
        <v>3653</v>
      </c>
      <c r="C1714" s="5" t="s">
        <v>2236</v>
      </c>
      <c r="D1714" s="5" t="s">
        <v>250</v>
      </c>
      <c r="E1714" s="5" t="s">
        <v>251</v>
      </c>
      <c r="F1714" t="e">
        <f>_xlfn.XLOOKUP(A1714,[1]邦达数据库!$A:$A,[1]邦达数据库!$C:$C)</f>
        <v>#N/A</v>
      </c>
    </row>
    <row r="1715" ht="30" customHeight="1" spans="1:6">
      <c r="A1715" s="2" t="s">
        <v>3654</v>
      </c>
      <c r="B1715" s="3" t="s">
        <v>3655</v>
      </c>
      <c r="C1715" s="3" t="s">
        <v>2430</v>
      </c>
      <c r="D1715" s="3" t="s">
        <v>18</v>
      </c>
      <c r="E1715" s="3" t="s">
        <v>19</v>
      </c>
      <c r="F1715" t="e">
        <f>_xlfn.XLOOKUP(A1715,[1]邦达数据库!$A:$A,[1]邦达数据库!$C:$C)</f>
        <v>#N/A</v>
      </c>
    </row>
    <row r="1716" ht="30" customHeight="1" spans="1:6">
      <c r="A1716" s="4" t="s">
        <v>3656</v>
      </c>
      <c r="B1716" s="5" t="s">
        <v>3657</v>
      </c>
      <c r="C1716" s="5" t="s">
        <v>17</v>
      </c>
      <c r="D1716" s="5" t="s">
        <v>3658</v>
      </c>
      <c r="E1716" s="5" t="s">
        <v>3659</v>
      </c>
      <c r="F1716" t="e">
        <f>_xlfn.XLOOKUP(A1716,[1]邦达数据库!$A:$A,[1]邦达数据库!$C:$C)</f>
        <v>#N/A</v>
      </c>
    </row>
    <row r="1717" ht="30" customHeight="1" spans="1:6">
      <c r="A1717" s="2" t="s">
        <v>3660</v>
      </c>
      <c r="B1717" s="3" t="s">
        <v>3657</v>
      </c>
      <c r="C1717" s="3" t="s">
        <v>17</v>
      </c>
      <c r="D1717" s="3" t="s">
        <v>3661</v>
      </c>
      <c r="E1717" s="3" t="s">
        <v>3662</v>
      </c>
      <c r="F1717" t="e">
        <f>_xlfn.XLOOKUP(A1717,[1]邦达数据库!$A:$A,[1]邦达数据库!$C:$C)</f>
        <v>#N/A</v>
      </c>
    </row>
    <row r="1718" ht="30" customHeight="1" spans="1:6">
      <c r="A1718" s="4" t="s">
        <v>3663</v>
      </c>
      <c r="B1718" s="5" t="s">
        <v>3657</v>
      </c>
      <c r="C1718" s="5" t="s">
        <v>17</v>
      </c>
      <c r="D1718" s="5" t="s">
        <v>3658</v>
      </c>
      <c r="E1718" s="5" t="s">
        <v>3659</v>
      </c>
      <c r="F1718" t="e">
        <f>_xlfn.XLOOKUP(A1718,[1]邦达数据库!$A:$A,[1]邦达数据库!$C:$C)</f>
        <v>#N/A</v>
      </c>
    </row>
    <row r="1719" ht="30" customHeight="1" spans="1:6">
      <c r="A1719" s="2" t="s">
        <v>3664</v>
      </c>
      <c r="B1719" s="3" t="s">
        <v>3665</v>
      </c>
      <c r="C1719" s="3" t="s">
        <v>1333</v>
      </c>
      <c r="D1719" s="3" t="s">
        <v>104</v>
      </c>
      <c r="E1719" s="3" t="s">
        <v>105</v>
      </c>
      <c r="F1719" t="e">
        <f>_xlfn.XLOOKUP(A1719,[1]邦达数据库!$A:$A,[1]邦达数据库!$C:$C)</f>
        <v>#N/A</v>
      </c>
    </row>
    <row r="1720" ht="30" customHeight="1" spans="1:6">
      <c r="A1720" s="4" t="s">
        <v>3666</v>
      </c>
      <c r="B1720" s="5" t="s">
        <v>3667</v>
      </c>
      <c r="C1720" s="5" t="s">
        <v>221</v>
      </c>
      <c r="D1720" s="5" t="s">
        <v>130</v>
      </c>
      <c r="E1720" s="5" t="s">
        <v>131</v>
      </c>
      <c r="F1720" t="e">
        <f>_xlfn.XLOOKUP(A1720,[1]邦达数据库!$A:$A,[1]邦达数据库!$C:$C)</f>
        <v>#N/A</v>
      </c>
    </row>
    <row r="1721" ht="30" customHeight="1" spans="1:6">
      <c r="A1721" s="2" t="s">
        <v>3668</v>
      </c>
      <c r="B1721" s="3" t="s">
        <v>3669</v>
      </c>
      <c r="C1721" s="3" t="s">
        <v>17</v>
      </c>
      <c r="D1721" s="3" t="s">
        <v>3670</v>
      </c>
      <c r="E1721" s="3" t="s">
        <v>3671</v>
      </c>
      <c r="F1721" t="e">
        <f>_xlfn.XLOOKUP(A1721,[1]邦达数据库!$A:$A,[1]邦达数据库!$C:$C)</f>
        <v>#N/A</v>
      </c>
    </row>
    <row r="1722" ht="30" customHeight="1" spans="1:6">
      <c r="A1722" s="4" t="s">
        <v>3672</v>
      </c>
      <c r="B1722" s="5" t="s">
        <v>215</v>
      </c>
      <c r="C1722" s="5" t="s">
        <v>216</v>
      </c>
      <c r="D1722" s="5" t="s">
        <v>3673</v>
      </c>
      <c r="E1722" s="5" t="s">
        <v>3674</v>
      </c>
      <c r="F1722" t="e">
        <f>_xlfn.XLOOKUP(A1722,[1]邦达数据库!$A:$A,[1]邦达数据库!$C:$C)</f>
        <v>#N/A</v>
      </c>
    </row>
    <row r="1723" ht="30" customHeight="1" spans="1:6">
      <c r="A1723" s="2" t="s">
        <v>3675</v>
      </c>
      <c r="B1723" s="3" t="s">
        <v>215</v>
      </c>
      <c r="C1723" s="3" t="s">
        <v>216</v>
      </c>
      <c r="D1723" s="3" t="s">
        <v>3673</v>
      </c>
      <c r="E1723" s="3" t="s">
        <v>3674</v>
      </c>
      <c r="F1723" t="e">
        <f>_xlfn.XLOOKUP(A1723,[1]邦达数据库!$A:$A,[1]邦达数据库!$C:$C)</f>
        <v>#N/A</v>
      </c>
    </row>
    <row r="1724" ht="30" customHeight="1" spans="1:6">
      <c r="A1724" s="4" t="s">
        <v>3676</v>
      </c>
      <c r="B1724" s="5" t="s">
        <v>215</v>
      </c>
      <c r="C1724" s="5" t="s">
        <v>216</v>
      </c>
      <c r="D1724" s="5" t="s">
        <v>3677</v>
      </c>
      <c r="E1724" s="5" t="s">
        <v>3678</v>
      </c>
      <c r="F1724" t="e">
        <f>_xlfn.XLOOKUP(A1724,[1]邦达数据库!$A:$A,[1]邦达数据库!$C:$C)</f>
        <v>#N/A</v>
      </c>
    </row>
    <row r="1725" ht="30" customHeight="1" spans="1:6">
      <c r="A1725" s="2" t="s">
        <v>3679</v>
      </c>
      <c r="B1725" s="3" t="s">
        <v>215</v>
      </c>
      <c r="C1725" s="3" t="s">
        <v>216</v>
      </c>
      <c r="D1725" s="3" t="s">
        <v>1789</v>
      </c>
      <c r="E1725" s="3" t="s">
        <v>1790</v>
      </c>
      <c r="F1725" t="e">
        <f>_xlfn.XLOOKUP(A1725,[1]邦达数据库!$A:$A,[1]邦达数据库!$C:$C)</f>
        <v>#N/A</v>
      </c>
    </row>
    <row r="1726" ht="30" customHeight="1" spans="1:6">
      <c r="A1726" s="4" t="s">
        <v>3680</v>
      </c>
      <c r="B1726" s="5" t="s">
        <v>3681</v>
      </c>
      <c r="C1726" s="5" t="s">
        <v>459</v>
      </c>
      <c r="D1726" s="5" t="s">
        <v>260</v>
      </c>
      <c r="E1726" s="5" t="s">
        <v>261</v>
      </c>
      <c r="F1726" t="e">
        <f>_xlfn.XLOOKUP(A1726,[1]邦达数据库!$A:$A,[1]邦达数据库!$C:$C)</f>
        <v>#N/A</v>
      </c>
    </row>
    <row r="1727" ht="30" customHeight="1" spans="1:6">
      <c r="A1727" s="2" t="s">
        <v>3682</v>
      </c>
      <c r="B1727" s="3" t="s">
        <v>3681</v>
      </c>
      <c r="C1727" s="3" t="s">
        <v>459</v>
      </c>
      <c r="D1727" s="3" t="s">
        <v>260</v>
      </c>
      <c r="E1727" s="3" t="s">
        <v>261</v>
      </c>
      <c r="F1727" t="e">
        <f>_xlfn.XLOOKUP(A1727,[1]邦达数据库!$A:$A,[1]邦达数据库!$C:$C)</f>
        <v>#N/A</v>
      </c>
    </row>
    <row r="1728" ht="30" customHeight="1" spans="1:6">
      <c r="A1728" s="4" t="s">
        <v>3683</v>
      </c>
      <c r="B1728" s="5" t="s">
        <v>3684</v>
      </c>
      <c r="C1728" s="5" t="s">
        <v>3236</v>
      </c>
      <c r="D1728" s="5" t="s">
        <v>794</v>
      </c>
      <c r="E1728" s="5" t="s">
        <v>795</v>
      </c>
      <c r="F1728" t="e">
        <f>_xlfn.XLOOKUP(A1728,[1]邦达数据库!$A:$A,[1]邦达数据库!$C:$C)</f>
        <v>#N/A</v>
      </c>
    </row>
    <row r="1729" ht="30" customHeight="1" spans="1:6">
      <c r="A1729" s="2" t="s">
        <v>3685</v>
      </c>
      <c r="B1729" s="3" t="s">
        <v>3684</v>
      </c>
      <c r="C1729" s="3" t="s">
        <v>3236</v>
      </c>
      <c r="D1729" s="3" t="s">
        <v>794</v>
      </c>
      <c r="E1729" s="3" t="s">
        <v>795</v>
      </c>
      <c r="F1729" t="e">
        <f>_xlfn.XLOOKUP(A1729,[1]邦达数据库!$A:$A,[1]邦达数据库!$C:$C)</f>
        <v>#N/A</v>
      </c>
    </row>
    <row r="1730" ht="30" customHeight="1" spans="1:6">
      <c r="A1730" s="4" t="s">
        <v>3686</v>
      </c>
      <c r="B1730" s="5" t="s">
        <v>3684</v>
      </c>
      <c r="C1730" s="5" t="s">
        <v>3236</v>
      </c>
      <c r="D1730" s="5" t="s">
        <v>794</v>
      </c>
      <c r="E1730" s="5" t="s">
        <v>795</v>
      </c>
      <c r="F1730" t="e">
        <f>_xlfn.XLOOKUP(A1730,[1]邦达数据库!$A:$A,[1]邦达数据库!$C:$C)</f>
        <v>#N/A</v>
      </c>
    </row>
    <row r="1731" ht="30" customHeight="1" spans="1:6">
      <c r="A1731" s="2" t="s">
        <v>3687</v>
      </c>
      <c r="B1731" s="3" t="s">
        <v>102</v>
      </c>
      <c r="C1731" s="3" t="s">
        <v>103</v>
      </c>
      <c r="D1731" s="3" t="s">
        <v>117</v>
      </c>
      <c r="E1731" s="3" t="s">
        <v>118</v>
      </c>
      <c r="F1731" t="e">
        <f>_xlfn.XLOOKUP(A1731,[1]邦达数据库!$A:$A,[1]邦达数据库!$C:$C)</f>
        <v>#N/A</v>
      </c>
    </row>
    <row r="1732" ht="30" customHeight="1" spans="1:6">
      <c r="A1732" s="4" t="s">
        <v>3688</v>
      </c>
      <c r="B1732" s="5" t="s">
        <v>102</v>
      </c>
      <c r="C1732" s="5" t="s">
        <v>103</v>
      </c>
      <c r="D1732" s="5" t="s">
        <v>117</v>
      </c>
      <c r="E1732" s="5" t="s">
        <v>118</v>
      </c>
      <c r="F1732" t="e">
        <f>_xlfn.XLOOKUP(A1732,[1]邦达数据库!$A:$A,[1]邦达数据库!$C:$C)</f>
        <v>#N/A</v>
      </c>
    </row>
    <row r="1733" ht="30" customHeight="1" spans="1:6">
      <c r="A1733" s="2" t="s">
        <v>3689</v>
      </c>
      <c r="B1733" s="3" t="s">
        <v>215</v>
      </c>
      <c r="C1733" s="3" t="s">
        <v>216</v>
      </c>
      <c r="D1733" s="3" t="s">
        <v>3690</v>
      </c>
      <c r="E1733" s="3" t="s">
        <v>3691</v>
      </c>
      <c r="F1733" t="e">
        <f>_xlfn.XLOOKUP(A1733,[1]邦达数据库!$A:$A,[1]邦达数据库!$C:$C)</f>
        <v>#N/A</v>
      </c>
    </row>
    <row r="1734" ht="30" customHeight="1" spans="1:6">
      <c r="A1734" s="4" t="s">
        <v>3692</v>
      </c>
      <c r="B1734" s="5" t="s">
        <v>215</v>
      </c>
      <c r="C1734" s="5" t="s">
        <v>216</v>
      </c>
      <c r="D1734" s="5" t="s">
        <v>3693</v>
      </c>
      <c r="E1734" s="5" t="s">
        <v>3694</v>
      </c>
      <c r="F1734" t="e">
        <f>_xlfn.XLOOKUP(A1734,[1]邦达数据库!$A:$A,[1]邦达数据库!$C:$C)</f>
        <v>#N/A</v>
      </c>
    </row>
    <row r="1735" ht="30" customHeight="1" spans="1:6">
      <c r="A1735" s="2" t="s">
        <v>3695</v>
      </c>
      <c r="B1735" s="3" t="s">
        <v>3696</v>
      </c>
      <c r="C1735" s="3" t="s">
        <v>88</v>
      </c>
      <c r="D1735" s="3" t="s">
        <v>1920</v>
      </c>
      <c r="E1735" s="3" t="s">
        <v>1921</v>
      </c>
      <c r="F1735" t="e">
        <f>_xlfn.XLOOKUP(A1735,[1]邦达数据库!$A:$A,[1]邦达数据库!$C:$C)</f>
        <v>#N/A</v>
      </c>
    </row>
    <row r="1736" ht="30" customHeight="1" spans="1:6">
      <c r="A1736" s="4" t="s">
        <v>3697</v>
      </c>
      <c r="B1736" s="5" t="s">
        <v>3698</v>
      </c>
      <c r="C1736" s="5" t="s">
        <v>3699</v>
      </c>
      <c r="D1736" s="5" t="s">
        <v>3700</v>
      </c>
      <c r="E1736" s="5" t="s">
        <v>3701</v>
      </c>
      <c r="F1736" t="e">
        <f>_xlfn.XLOOKUP(A1736,[1]邦达数据库!$A:$A,[1]邦达数据库!$C:$C)</f>
        <v>#N/A</v>
      </c>
    </row>
    <row r="1737" ht="30" customHeight="1" spans="1:6">
      <c r="A1737" s="2" t="s">
        <v>3702</v>
      </c>
      <c r="B1737" s="3" t="s">
        <v>3703</v>
      </c>
      <c r="C1737" s="3" t="s">
        <v>1065</v>
      </c>
      <c r="D1737" s="3" t="s">
        <v>250</v>
      </c>
      <c r="E1737" s="3" t="s">
        <v>251</v>
      </c>
      <c r="F1737" t="e">
        <f>_xlfn.XLOOKUP(A1737,[1]邦达数据库!$A:$A,[1]邦达数据库!$C:$C)</f>
        <v>#N/A</v>
      </c>
    </row>
    <row r="1738" ht="30" customHeight="1" spans="1:6">
      <c r="A1738" s="4" t="s">
        <v>3704</v>
      </c>
      <c r="B1738" s="5" t="s">
        <v>3705</v>
      </c>
      <c r="C1738" s="5" t="s">
        <v>3706</v>
      </c>
      <c r="D1738" s="5" t="s">
        <v>79</v>
      </c>
      <c r="E1738" s="5" t="s">
        <v>80</v>
      </c>
      <c r="F1738" t="e">
        <f>_xlfn.XLOOKUP(A1738,[1]邦达数据库!$A:$A,[1]邦达数据库!$C:$C)</f>
        <v>#N/A</v>
      </c>
    </row>
    <row r="1739" ht="30" customHeight="1" spans="1:6">
      <c r="A1739" s="2" t="s">
        <v>3707</v>
      </c>
      <c r="B1739" s="3" t="s">
        <v>3708</v>
      </c>
      <c r="C1739" s="3" t="s">
        <v>340</v>
      </c>
      <c r="D1739" s="3" t="s">
        <v>2938</v>
      </c>
      <c r="E1739" s="3" t="s">
        <v>2939</v>
      </c>
      <c r="F1739" t="e">
        <f>_xlfn.XLOOKUP(A1739,[1]邦达数据库!$A:$A,[1]邦达数据库!$C:$C)</f>
        <v>#N/A</v>
      </c>
    </row>
    <row r="1740" ht="30" customHeight="1" spans="1:6">
      <c r="A1740" s="2" t="s">
        <v>3709</v>
      </c>
      <c r="B1740" s="3" t="s">
        <v>3710</v>
      </c>
      <c r="C1740" s="3" t="s">
        <v>3711</v>
      </c>
      <c r="D1740" s="3" t="s">
        <v>1537</v>
      </c>
      <c r="E1740" s="3" t="s">
        <v>1538</v>
      </c>
      <c r="F1740" t="e">
        <f>_xlfn.XLOOKUP(A1740,[1]邦达数据库!$A:$A,[1]邦达数据库!$C:$C)</f>
        <v>#N/A</v>
      </c>
    </row>
    <row r="1741" ht="30" customHeight="1" spans="1:6">
      <c r="A1741" s="4" t="s">
        <v>3712</v>
      </c>
      <c r="B1741" s="5" t="s">
        <v>3713</v>
      </c>
      <c r="C1741" s="5" t="s">
        <v>2386</v>
      </c>
      <c r="D1741" s="5" t="s">
        <v>38</v>
      </c>
      <c r="E1741" s="5" t="s">
        <v>39</v>
      </c>
      <c r="F1741" t="e">
        <f>_xlfn.XLOOKUP(A1741,[1]邦达数据库!$A:$A,[1]邦达数据库!$C:$C)</f>
        <v>#N/A</v>
      </c>
    </row>
    <row r="1742" ht="30" customHeight="1" spans="1:6">
      <c r="A1742" s="2" t="s">
        <v>3714</v>
      </c>
      <c r="B1742" s="3" t="s">
        <v>3715</v>
      </c>
      <c r="C1742" s="3" t="s">
        <v>3716</v>
      </c>
      <c r="D1742" s="3" t="s">
        <v>266</v>
      </c>
      <c r="E1742" s="3" t="s">
        <v>267</v>
      </c>
      <c r="F1742" t="e">
        <f>_xlfn.XLOOKUP(A1742,[1]邦达数据库!$A:$A,[1]邦达数据库!$C:$C)</f>
        <v>#N/A</v>
      </c>
    </row>
    <row r="1743" ht="30" customHeight="1" spans="1:6">
      <c r="A1743" s="4" t="s">
        <v>3717</v>
      </c>
      <c r="B1743" s="5" t="s">
        <v>3715</v>
      </c>
      <c r="C1743" s="5" t="s">
        <v>3716</v>
      </c>
      <c r="D1743" s="5" t="s">
        <v>266</v>
      </c>
      <c r="E1743" s="5" t="s">
        <v>267</v>
      </c>
      <c r="F1743" t="e">
        <f>_xlfn.XLOOKUP(A1743,[1]邦达数据库!$A:$A,[1]邦达数据库!$C:$C)</f>
        <v>#N/A</v>
      </c>
    </row>
    <row r="1744" ht="30" customHeight="1" spans="1:6">
      <c r="A1744" s="2" t="s">
        <v>3718</v>
      </c>
      <c r="B1744" s="3" t="s">
        <v>3715</v>
      </c>
      <c r="C1744" s="3" t="s">
        <v>3716</v>
      </c>
      <c r="D1744" s="3" t="s">
        <v>266</v>
      </c>
      <c r="E1744" s="3" t="s">
        <v>267</v>
      </c>
      <c r="F1744" t="e">
        <f>_xlfn.XLOOKUP(A1744,[1]邦达数据库!$A:$A,[1]邦达数据库!$C:$C)</f>
        <v>#N/A</v>
      </c>
    </row>
    <row r="1745" ht="30" customHeight="1" spans="1:6">
      <c r="A1745" s="4" t="s">
        <v>3719</v>
      </c>
      <c r="B1745" s="5" t="s">
        <v>3715</v>
      </c>
      <c r="C1745" s="5" t="s">
        <v>3716</v>
      </c>
      <c r="D1745" s="5" t="s">
        <v>271</v>
      </c>
      <c r="E1745" s="5" t="s">
        <v>272</v>
      </c>
      <c r="F1745" t="e">
        <f>_xlfn.XLOOKUP(A1745,[1]邦达数据库!$A:$A,[1]邦达数据库!$C:$C)</f>
        <v>#N/A</v>
      </c>
    </row>
    <row r="1746" ht="30" customHeight="1" spans="1:6">
      <c r="A1746" s="4" t="s">
        <v>3720</v>
      </c>
      <c r="B1746" s="5" t="s">
        <v>3721</v>
      </c>
      <c r="C1746" s="5" t="s">
        <v>3722</v>
      </c>
      <c r="D1746" s="5" t="s">
        <v>1474</v>
      </c>
      <c r="E1746" s="5" t="s">
        <v>1475</v>
      </c>
      <c r="F1746" t="e">
        <f>_xlfn.XLOOKUP(A1746,[1]邦达数据库!$A:$A,[1]邦达数据库!$C:$C)</f>
        <v>#N/A</v>
      </c>
    </row>
    <row r="1747" ht="30" customHeight="1" spans="1:6">
      <c r="A1747" s="2" t="s">
        <v>3723</v>
      </c>
      <c r="B1747" s="3" t="s">
        <v>3721</v>
      </c>
      <c r="C1747" s="3" t="s">
        <v>3722</v>
      </c>
      <c r="D1747" s="3" t="s">
        <v>3096</v>
      </c>
      <c r="E1747" s="3" t="s">
        <v>3097</v>
      </c>
      <c r="F1747" t="e">
        <f>_xlfn.XLOOKUP(A1747,[1]邦达数据库!$A:$A,[1]邦达数据库!$C:$C)</f>
        <v>#N/A</v>
      </c>
    </row>
    <row r="1748" ht="30" customHeight="1" spans="1:6">
      <c r="A1748" s="4" t="s">
        <v>3724</v>
      </c>
      <c r="B1748" s="5" t="s">
        <v>3725</v>
      </c>
      <c r="C1748" s="5" t="s">
        <v>3726</v>
      </c>
      <c r="D1748" s="5" t="s">
        <v>184</v>
      </c>
      <c r="E1748" s="5" t="s">
        <v>185</v>
      </c>
      <c r="F1748" t="e">
        <f>_xlfn.XLOOKUP(A1748,[1]邦达数据库!$A:$A,[1]邦达数据库!$C:$C)</f>
        <v>#N/A</v>
      </c>
    </row>
    <row r="1749" ht="30" customHeight="1" spans="1:6">
      <c r="A1749" s="2" t="s">
        <v>3727</v>
      </c>
      <c r="B1749" s="3" t="s">
        <v>431</v>
      </c>
      <c r="C1749" s="3" t="s">
        <v>432</v>
      </c>
      <c r="D1749" s="3" t="s">
        <v>223</v>
      </c>
      <c r="E1749" s="3" t="s">
        <v>224</v>
      </c>
      <c r="F1749" t="e">
        <f>_xlfn.XLOOKUP(A1749,[1]邦达数据库!$A:$A,[1]邦达数据库!$C:$C)</f>
        <v>#N/A</v>
      </c>
    </row>
    <row r="1750" ht="30" customHeight="1" spans="1:6">
      <c r="A1750" s="4" t="s">
        <v>3728</v>
      </c>
      <c r="B1750" s="5" t="s">
        <v>431</v>
      </c>
      <c r="C1750" s="5" t="s">
        <v>432</v>
      </c>
      <c r="D1750" s="5" t="s">
        <v>223</v>
      </c>
      <c r="E1750" s="5" t="s">
        <v>224</v>
      </c>
      <c r="F1750" t="e">
        <f>_xlfn.XLOOKUP(A1750,[1]邦达数据库!$A:$A,[1]邦达数据库!$C:$C)</f>
        <v>#N/A</v>
      </c>
    </row>
    <row r="1751" ht="30" customHeight="1" spans="1:6">
      <c r="A1751" s="2" t="s">
        <v>3729</v>
      </c>
      <c r="B1751" s="3" t="s">
        <v>431</v>
      </c>
      <c r="C1751" s="3" t="s">
        <v>432</v>
      </c>
      <c r="D1751" s="3" t="s">
        <v>3159</v>
      </c>
      <c r="E1751" s="3" t="s">
        <v>3160</v>
      </c>
      <c r="F1751" t="s">
        <v>3730</v>
      </c>
    </row>
    <row r="1752" ht="30" customHeight="1" spans="1:6">
      <c r="A1752" s="4" t="s">
        <v>3731</v>
      </c>
      <c r="B1752" s="5" t="s">
        <v>3732</v>
      </c>
      <c r="C1752" s="5" t="s">
        <v>1946</v>
      </c>
      <c r="D1752" s="5" t="s">
        <v>170</v>
      </c>
      <c r="E1752" s="5" t="s">
        <v>171</v>
      </c>
      <c r="F1752" t="e">
        <f>_xlfn.XLOOKUP(A1752,[1]邦达数据库!$A:$A,[1]邦达数据库!$C:$C)</f>
        <v>#N/A</v>
      </c>
    </row>
    <row r="1753" ht="30" customHeight="1" spans="1:6">
      <c r="A1753" s="2" t="s">
        <v>3733</v>
      </c>
      <c r="B1753" s="3" t="s">
        <v>3734</v>
      </c>
      <c r="C1753" s="3" t="s">
        <v>340</v>
      </c>
      <c r="D1753" s="3" t="s">
        <v>217</v>
      </c>
      <c r="E1753" s="3" t="s">
        <v>218</v>
      </c>
      <c r="F1753" t="e">
        <f>_xlfn.XLOOKUP(A1753,[1]邦达数据库!$A:$A,[1]邦达数据库!$C:$C)</f>
        <v>#N/A</v>
      </c>
    </row>
    <row r="1754" ht="30" customHeight="1" spans="1:6">
      <c r="A1754" s="4" t="s">
        <v>3735</v>
      </c>
      <c r="B1754" s="5" t="s">
        <v>3736</v>
      </c>
      <c r="C1754" s="5" t="s">
        <v>242</v>
      </c>
      <c r="D1754" s="5" t="s">
        <v>1110</v>
      </c>
      <c r="E1754" s="5" t="s">
        <v>1111</v>
      </c>
      <c r="F1754" t="e">
        <f>_xlfn.XLOOKUP(A1754,[1]邦达数据库!$A:$A,[1]邦达数据库!$C:$C)</f>
        <v>#N/A</v>
      </c>
    </row>
    <row r="1755" ht="30" customHeight="1" spans="1:6">
      <c r="A1755" s="2" t="s">
        <v>3737</v>
      </c>
      <c r="B1755" s="3" t="s">
        <v>156</v>
      </c>
      <c r="C1755" s="3" t="s">
        <v>157</v>
      </c>
      <c r="D1755" s="3" t="s">
        <v>524</v>
      </c>
      <c r="E1755" s="3" t="s">
        <v>525</v>
      </c>
      <c r="F1755" t="e">
        <f>_xlfn.XLOOKUP(A1755,[1]邦达数据库!$A:$A,[1]邦达数据库!$C:$C)</f>
        <v>#N/A</v>
      </c>
    </row>
    <row r="1756" ht="30" customHeight="1" spans="1:6">
      <c r="A1756" s="4" t="s">
        <v>3738</v>
      </c>
      <c r="B1756" s="5" t="s">
        <v>156</v>
      </c>
      <c r="C1756" s="5" t="s">
        <v>157</v>
      </c>
      <c r="D1756" s="5" t="s">
        <v>524</v>
      </c>
      <c r="E1756" s="5" t="s">
        <v>525</v>
      </c>
      <c r="F1756" t="str">
        <f>_xlfn.XLOOKUP(A1756,[1]邦达数据库!$A:$A,[1]邦达数据库!$C:$C)</f>
        <v>7308.90.9890</v>
      </c>
    </row>
    <row r="1757" ht="30" customHeight="1" spans="1:6">
      <c r="A1757" s="2" t="s">
        <v>3739</v>
      </c>
      <c r="B1757" s="3" t="s">
        <v>3740</v>
      </c>
      <c r="C1757" s="3" t="s">
        <v>962</v>
      </c>
      <c r="D1757" s="3" t="s">
        <v>963</v>
      </c>
      <c r="E1757" s="3" t="s">
        <v>964</v>
      </c>
      <c r="F1757" t="e">
        <f>_xlfn.XLOOKUP(A1757,[1]邦达数据库!$A:$A,[1]邦达数据库!$C:$C)</f>
        <v>#N/A</v>
      </c>
    </row>
    <row r="1758" ht="30" customHeight="1" spans="1:6">
      <c r="A1758" s="4" t="s">
        <v>3741</v>
      </c>
      <c r="B1758" s="5" t="s">
        <v>3740</v>
      </c>
      <c r="C1758" s="5" t="s">
        <v>962</v>
      </c>
      <c r="D1758" s="5" t="s">
        <v>963</v>
      </c>
      <c r="E1758" s="5" t="s">
        <v>964</v>
      </c>
      <c r="F1758" t="e">
        <f>_xlfn.XLOOKUP(A1758,[1]邦达数据库!$A:$A,[1]邦达数据库!$C:$C)</f>
        <v>#N/A</v>
      </c>
    </row>
    <row r="1759" ht="30" customHeight="1" spans="1:6">
      <c r="A1759" s="2" t="s">
        <v>3742</v>
      </c>
      <c r="B1759" s="3" t="s">
        <v>3740</v>
      </c>
      <c r="C1759" s="3" t="s">
        <v>962</v>
      </c>
      <c r="D1759" s="3" t="s">
        <v>963</v>
      </c>
      <c r="E1759" s="3" t="s">
        <v>964</v>
      </c>
      <c r="F1759" t="e">
        <f>_xlfn.XLOOKUP(A1759,[1]邦达数据库!$A:$A,[1]邦达数据库!$C:$C)</f>
        <v>#N/A</v>
      </c>
    </row>
    <row r="1760" ht="30" customHeight="1" spans="1:6">
      <c r="A1760" s="4" t="s">
        <v>3743</v>
      </c>
      <c r="B1760" s="5" t="s">
        <v>3740</v>
      </c>
      <c r="C1760" s="5" t="s">
        <v>962</v>
      </c>
      <c r="D1760" s="5" t="s">
        <v>963</v>
      </c>
      <c r="E1760" s="5" t="s">
        <v>964</v>
      </c>
      <c r="F1760" t="e">
        <f>_xlfn.XLOOKUP(A1760,[1]邦达数据库!$A:$A,[1]邦达数据库!$C:$C)</f>
        <v>#N/A</v>
      </c>
    </row>
    <row r="1761" ht="30" customHeight="1" spans="1:6">
      <c r="A1761" s="2" t="s">
        <v>3744</v>
      </c>
      <c r="B1761" s="3" t="s">
        <v>3740</v>
      </c>
      <c r="C1761" s="3" t="s">
        <v>962</v>
      </c>
      <c r="D1761" s="3" t="s">
        <v>963</v>
      </c>
      <c r="E1761" s="3" t="s">
        <v>964</v>
      </c>
      <c r="F1761" t="e">
        <f>_xlfn.XLOOKUP(A1761,[1]邦达数据库!$A:$A,[1]邦达数据库!$C:$C)</f>
        <v>#N/A</v>
      </c>
    </row>
    <row r="1762" ht="30" customHeight="1" spans="1:6">
      <c r="A1762" s="4" t="s">
        <v>3745</v>
      </c>
      <c r="B1762" s="5" t="s">
        <v>3746</v>
      </c>
      <c r="C1762" s="5" t="s">
        <v>88</v>
      </c>
      <c r="D1762" s="5" t="s">
        <v>3639</v>
      </c>
      <c r="E1762" s="5" t="s">
        <v>3640</v>
      </c>
      <c r="F1762" t="e">
        <f>_xlfn.XLOOKUP(A1762,[1]邦达数据库!$A:$A,[1]邦达数据库!$C:$C)</f>
        <v>#N/A</v>
      </c>
    </row>
    <row r="1763" ht="30" customHeight="1" spans="1:6">
      <c r="A1763" s="2" t="s">
        <v>3747</v>
      </c>
      <c r="B1763" s="3" t="s">
        <v>3748</v>
      </c>
      <c r="C1763" s="3" t="s">
        <v>1931</v>
      </c>
      <c r="D1763" s="3" t="s">
        <v>482</v>
      </c>
      <c r="E1763" s="3" t="s">
        <v>483</v>
      </c>
      <c r="F1763" t="e">
        <f>_xlfn.XLOOKUP(A1763,[1]邦达数据库!$A:$A,[1]邦达数据库!$C:$C)</f>
        <v>#N/A</v>
      </c>
    </row>
    <row r="1764" ht="30" customHeight="1" spans="1:6">
      <c r="A1764" s="4" t="s">
        <v>3749</v>
      </c>
      <c r="B1764" s="5" t="s">
        <v>3748</v>
      </c>
      <c r="C1764" s="5" t="s">
        <v>1931</v>
      </c>
      <c r="D1764" s="5" t="s">
        <v>482</v>
      </c>
      <c r="E1764" s="5" t="s">
        <v>483</v>
      </c>
      <c r="F1764" t="e">
        <f>_xlfn.XLOOKUP(A1764,[1]邦达数据库!$A:$A,[1]邦达数据库!$C:$C)</f>
        <v>#N/A</v>
      </c>
    </row>
    <row r="1765" ht="30" customHeight="1" spans="1:6">
      <c r="A1765" s="2" t="s">
        <v>3750</v>
      </c>
      <c r="B1765" s="3" t="s">
        <v>3748</v>
      </c>
      <c r="C1765" s="3" t="s">
        <v>1931</v>
      </c>
      <c r="D1765" s="3" t="s">
        <v>482</v>
      </c>
      <c r="E1765" s="3" t="s">
        <v>483</v>
      </c>
      <c r="F1765" t="e">
        <f>_xlfn.XLOOKUP(A1765,[1]邦达数据库!$A:$A,[1]邦达数据库!$C:$C)</f>
        <v>#N/A</v>
      </c>
    </row>
    <row r="1766" ht="30" customHeight="1" spans="1:6">
      <c r="A1766" s="4" t="s">
        <v>3751</v>
      </c>
      <c r="B1766" s="5" t="s">
        <v>3752</v>
      </c>
      <c r="C1766" s="5" t="s">
        <v>3753</v>
      </c>
      <c r="D1766" s="5" t="s">
        <v>1515</v>
      </c>
      <c r="E1766" s="5" t="s">
        <v>1516</v>
      </c>
      <c r="F1766" t="e">
        <f>_xlfn.XLOOKUP(A1766,[1]邦达数据库!$A:$A,[1]邦达数据库!$C:$C)</f>
        <v>#N/A</v>
      </c>
    </row>
    <row r="1767" ht="30" customHeight="1" spans="1:6">
      <c r="A1767" s="2" t="s">
        <v>3754</v>
      </c>
      <c r="B1767" s="3" t="s">
        <v>3752</v>
      </c>
      <c r="C1767" s="3" t="s">
        <v>3753</v>
      </c>
      <c r="D1767" s="3" t="s">
        <v>3755</v>
      </c>
      <c r="E1767" s="3" t="s">
        <v>3756</v>
      </c>
      <c r="F1767" t="e">
        <f>_xlfn.XLOOKUP(A1767,[1]邦达数据库!$A:$A,[1]邦达数据库!$C:$C)</f>
        <v>#N/A</v>
      </c>
    </row>
    <row r="1768" ht="30" customHeight="1" spans="1:6">
      <c r="A1768" s="4" t="s">
        <v>3757</v>
      </c>
      <c r="B1768" s="5" t="s">
        <v>3758</v>
      </c>
      <c r="C1768" s="5" t="s">
        <v>3753</v>
      </c>
      <c r="D1768" s="5" t="s">
        <v>3502</v>
      </c>
      <c r="E1768" s="5" t="s">
        <v>3503</v>
      </c>
      <c r="F1768" t="e">
        <f>_xlfn.XLOOKUP(A1768,[1]邦达数据库!$A:$A,[1]邦达数据库!$C:$C)</f>
        <v>#N/A</v>
      </c>
    </row>
    <row r="1769" ht="30" customHeight="1" spans="1:6">
      <c r="A1769" s="2" t="s">
        <v>3759</v>
      </c>
      <c r="B1769" s="3" t="s">
        <v>3758</v>
      </c>
      <c r="C1769" s="3" t="s">
        <v>3753</v>
      </c>
      <c r="D1769" s="3" t="s">
        <v>776</v>
      </c>
      <c r="E1769" s="3" t="s">
        <v>777</v>
      </c>
      <c r="F1769" t="e">
        <f>_xlfn.XLOOKUP(A1769,[1]邦达数据库!$A:$A,[1]邦达数据库!$C:$C)</f>
        <v>#N/A</v>
      </c>
    </row>
    <row r="1770" ht="30" customHeight="1" spans="1:6">
      <c r="A1770" s="4" t="s">
        <v>3760</v>
      </c>
      <c r="B1770" s="5" t="s">
        <v>3752</v>
      </c>
      <c r="C1770" s="5" t="s">
        <v>3753</v>
      </c>
      <c r="D1770" s="5" t="s">
        <v>1515</v>
      </c>
      <c r="E1770" s="5" t="s">
        <v>1516</v>
      </c>
      <c r="F1770" t="e">
        <f>_xlfn.XLOOKUP(A1770,[1]邦达数据库!$A:$A,[1]邦达数据库!$C:$C)</f>
        <v>#N/A</v>
      </c>
    </row>
    <row r="1771" ht="30" customHeight="1" spans="1:6">
      <c r="A1771" s="2" t="s">
        <v>3761</v>
      </c>
      <c r="B1771" s="3" t="s">
        <v>3758</v>
      </c>
      <c r="C1771" s="3" t="s">
        <v>3753</v>
      </c>
      <c r="D1771" s="3" t="s">
        <v>776</v>
      </c>
      <c r="E1771" s="3" t="s">
        <v>777</v>
      </c>
      <c r="F1771" t="e">
        <f>_xlfn.XLOOKUP(A1771,[1]邦达数据库!$A:$A,[1]邦达数据库!$C:$C)</f>
        <v>#N/A</v>
      </c>
    </row>
    <row r="1772" ht="30" customHeight="1" spans="1:6">
      <c r="A1772" s="4" t="s">
        <v>3762</v>
      </c>
      <c r="B1772" s="5" t="s">
        <v>3763</v>
      </c>
      <c r="C1772" s="5" t="s">
        <v>1330</v>
      </c>
      <c r="D1772" s="5" t="s">
        <v>33</v>
      </c>
      <c r="E1772" s="5" t="s">
        <v>34</v>
      </c>
      <c r="F1772" t="e">
        <f>_xlfn.XLOOKUP(A1772,[1]邦达数据库!$A:$A,[1]邦达数据库!$C:$C)</f>
        <v>#N/A</v>
      </c>
    </row>
    <row r="1773" ht="30" customHeight="1" spans="1:6">
      <c r="A1773" s="2" t="s">
        <v>3764</v>
      </c>
      <c r="B1773" s="3" t="s">
        <v>3765</v>
      </c>
      <c r="C1773" s="3" t="s">
        <v>46</v>
      </c>
      <c r="D1773" s="3" t="s">
        <v>223</v>
      </c>
      <c r="E1773" s="3" t="s">
        <v>224</v>
      </c>
      <c r="F1773" t="e">
        <f>_xlfn.XLOOKUP(A1773,[1]邦达数据库!$A:$A,[1]邦达数据库!$C:$C)</f>
        <v>#N/A</v>
      </c>
    </row>
    <row r="1774" ht="30" customHeight="1" spans="1:6">
      <c r="A1774" s="4" t="s">
        <v>3766</v>
      </c>
      <c r="B1774" s="5" t="s">
        <v>3765</v>
      </c>
      <c r="C1774" s="5" t="s">
        <v>46</v>
      </c>
      <c r="D1774" s="5" t="s">
        <v>223</v>
      </c>
      <c r="E1774" s="5" t="s">
        <v>224</v>
      </c>
      <c r="F1774" t="e">
        <f>_xlfn.XLOOKUP(A1774,[1]邦达数据库!$A:$A,[1]邦达数据库!$C:$C)</f>
        <v>#N/A</v>
      </c>
    </row>
    <row r="1775" ht="30" customHeight="1" spans="1:6">
      <c r="A1775" s="2" t="s">
        <v>3767</v>
      </c>
      <c r="B1775" s="3" t="s">
        <v>3768</v>
      </c>
      <c r="C1775" s="3" t="s">
        <v>3769</v>
      </c>
      <c r="D1775" s="3" t="s">
        <v>963</v>
      </c>
      <c r="E1775" s="3" t="s">
        <v>964</v>
      </c>
      <c r="F1775" t="e">
        <f>_xlfn.XLOOKUP(A1775,[1]邦达数据库!$A:$A,[1]邦达数据库!$C:$C)</f>
        <v>#N/A</v>
      </c>
    </row>
    <row r="1776" ht="30" customHeight="1" spans="1:6">
      <c r="A1776" s="4" t="s">
        <v>3770</v>
      </c>
      <c r="B1776" s="5" t="s">
        <v>1614</v>
      </c>
      <c r="C1776" s="5" t="s">
        <v>300</v>
      </c>
      <c r="D1776" s="5" t="s">
        <v>1233</v>
      </c>
      <c r="E1776" s="5" t="s">
        <v>1234</v>
      </c>
      <c r="F1776" t="e">
        <f>_xlfn.XLOOKUP(A1776,[1]邦达数据库!$A:$A,[1]邦达数据库!$C:$C)</f>
        <v>#N/A</v>
      </c>
    </row>
    <row r="1777" ht="30" customHeight="1" spans="1:6">
      <c r="A1777" s="2" t="s">
        <v>3771</v>
      </c>
      <c r="B1777" s="3" t="s">
        <v>1614</v>
      </c>
      <c r="C1777" s="3" t="s">
        <v>300</v>
      </c>
      <c r="D1777" s="3" t="s">
        <v>719</v>
      </c>
      <c r="E1777" s="3" t="s">
        <v>720</v>
      </c>
      <c r="F1777" t="e">
        <f>_xlfn.XLOOKUP(A1777,[1]邦达数据库!$A:$A,[1]邦达数据库!$C:$C)</f>
        <v>#N/A</v>
      </c>
    </row>
    <row r="1778" ht="30" customHeight="1" spans="1:6">
      <c r="A1778" s="4" t="s">
        <v>3772</v>
      </c>
      <c r="B1778" s="5" t="s">
        <v>1614</v>
      </c>
      <c r="C1778" s="5" t="s">
        <v>300</v>
      </c>
      <c r="D1778" s="5" t="s">
        <v>1104</v>
      </c>
      <c r="E1778" s="5" t="s">
        <v>1105</v>
      </c>
      <c r="F1778" t="e">
        <f>_xlfn.XLOOKUP(A1778,[1]邦达数据库!$A:$A,[1]邦达数据库!$C:$C)</f>
        <v>#N/A</v>
      </c>
    </row>
    <row r="1779" ht="30" customHeight="1" spans="1:6">
      <c r="A1779" s="4" t="s">
        <v>3773</v>
      </c>
      <c r="B1779" s="5" t="s">
        <v>3774</v>
      </c>
      <c r="C1779" s="5" t="s">
        <v>3775</v>
      </c>
      <c r="D1779" s="5" t="s">
        <v>18</v>
      </c>
      <c r="E1779" s="5" t="s">
        <v>19</v>
      </c>
      <c r="F1779" t="str">
        <f>_xlfn.XLOOKUP(A1779,[1]邦达数据库!$A:$A,[1]邦达数据库!$C:$C)</f>
        <v>8207.50.9000</v>
      </c>
    </row>
    <row r="1780" ht="30" customHeight="1" spans="1:6">
      <c r="A1780" s="2" t="s">
        <v>3776</v>
      </c>
      <c r="B1780" s="3" t="s">
        <v>3774</v>
      </c>
      <c r="C1780" s="3" t="s">
        <v>3775</v>
      </c>
      <c r="D1780" s="3" t="s">
        <v>18</v>
      </c>
      <c r="E1780" s="3" t="s">
        <v>19</v>
      </c>
      <c r="F1780" t="str">
        <f>_xlfn.XLOOKUP(A1780,[1]邦达数据库!$A:$A,[1]邦达数据库!$C:$C)</f>
        <v>8207.50.9000</v>
      </c>
    </row>
    <row r="1781" ht="30" customHeight="1" spans="1:6">
      <c r="A1781" s="4" t="s">
        <v>3777</v>
      </c>
      <c r="B1781" s="5" t="s">
        <v>3774</v>
      </c>
      <c r="C1781" s="5" t="s">
        <v>3775</v>
      </c>
      <c r="D1781" s="5" t="s">
        <v>404</v>
      </c>
      <c r="E1781" s="5" t="s">
        <v>405</v>
      </c>
      <c r="F1781" t="e">
        <f>_xlfn.XLOOKUP(A1781,[1]邦达数据库!$A:$A,[1]邦达数据库!$C:$C)</f>
        <v>#N/A</v>
      </c>
    </row>
    <row r="1782" ht="30" customHeight="1" spans="1:6">
      <c r="A1782" s="2" t="s">
        <v>3778</v>
      </c>
      <c r="B1782" s="3" t="s">
        <v>3774</v>
      </c>
      <c r="C1782" s="3" t="s">
        <v>3775</v>
      </c>
      <c r="D1782" s="3" t="s">
        <v>18</v>
      </c>
      <c r="E1782" s="3" t="s">
        <v>19</v>
      </c>
      <c r="F1782" t="str">
        <f>_xlfn.XLOOKUP(A1782,[1]邦达数据库!$A:$A,[1]邦达数据库!$C:$C)</f>
        <v>8207.50.9000</v>
      </c>
    </row>
    <row r="1783" ht="30" customHeight="1" spans="1:6">
      <c r="A1783" s="4" t="s">
        <v>3779</v>
      </c>
      <c r="B1783" s="5" t="s">
        <v>3774</v>
      </c>
      <c r="C1783" s="5" t="s">
        <v>3775</v>
      </c>
      <c r="D1783" s="5" t="s">
        <v>18</v>
      </c>
      <c r="E1783" s="5" t="s">
        <v>19</v>
      </c>
      <c r="F1783" t="str">
        <f>_xlfn.XLOOKUP(A1783,[1]邦达数据库!$A:$A,[1]邦达数据库!$C:$C)</f>
        <v>8207.50.9000</v>
      </c>
    </row>
    <row r="1784" ht="30" customHeight="1" spans="1:6">
      <c r="A1784" s="2" t="s">
        <v>3780</v>
      </c>
      <c r="B1784" s="3" t="s">
        <v>3774</v>
      </c>
      <c r="C1784" s="3" t="s">
        <v>3775</v>
      </c>
      <c r="D1784" s="3" t="s">
        <v>18</v>
      </c>
      <c r="E1784" s="3" t="s">
        <v>19</v>
      </c>
      <c r="F1784" t="e">
        <f>_xlfn.XLOOKUP(A1784,[1]邦达数据库!$A:$A,[1]邦达数据库!$C:$C)</f>
        <v>#N/A</v>
      </c>
    </row>
    <row r="1785" ht="30" customHeight="1" spans="1:6">
      <c r="A1785" s="4" t="s">
        <v>3781</v>
      </c>
      <c r="B1785" s="5" t="s">
        <v>585</v>
      </c>
      <c r="C1785" s="5" t="s">
        <v>586</v>
      </c>
      <c r="D1785" s="5" t="s">
        <v>187</v>
      </c>
      <c r="E1785" s="5" t="s">
        <v>188</v>
      </c>
      <c r="F1785" t="e">
        <f>_xlfn.XLOOKUP(A1785,[1]邦达数据库!$A:$A,[1]邦达数据库!$C:$C)</f>
        <v>#N/A</v>
      </c>
    </row>
    <row r="1786" ht="30" customHeight="1" spans="1:6">
      <c r="A1786" s="2" t="s">
        <v>3782</v>
      </c>
      <c r="B1786" s="3" t="s">
        <v>585</v>
      </c>
      <c r="C1786" s="3" t="s">
        <v>586</v>
      </c>
      <c r="D1786" s="3" t="s">
        <v>187</v>
      </c>
      <c r="E1786" s="3" t="s">
        <v>188</v>
      </c>
      <c r="F1786" t="e">
        <f>_xlfn.XLOOKUP(A1786,[1]邦达数据库!$A:$A,[1]邦达数据库!$C:$C)</f>
        <v>#N/A</v>
      </c>
    </row>
    <row r="1787" ht="30" customHeight="1" spans="1:6">
      <c r="A1787" s="4" t="s">
        <v>3783</v>
      </c>
      <c r="B1787" s="5" t="s">
        <v>3784</v>
      </c>
      <c r="C1787" s="5" t="s">
        <v>3208</v>
      </c>
      <c r="D1787" s="5" t="s">
        <v>3785</v>
      </c>
      <c r="E1787" s="5" t="s">
        <v>3786</v>
      </c>
      <c r="F1787" t="e">
        <f>_xlfn.XLOOKUP(A1787,[1]邦达数据库!$A:$A,[1]邦达数据库!$C:$C)</f>
        <v>#N/A</v>
      </c>
    </row>
    <row r="1788" ht="30" customHeight="1" spans="1:6">
      <c r="A1788" s="2" t="s">
        <v>3787</v>
      </c>
      <c r="B1788" s="3" t="s">
        <v>3784</v>
      </c>
      <c r="C1788" s="3" t="s">
        <v>3208</v>
      </c>
      <c r="D1788" s="3" t="s">
        <v>3788</v>
      </c>
      <c r="E1788" s="3" t="s">
        <v>3789</v>
      </c>
      <c r="F1788" t="e">
        <f>_xlfn.XLOOKUP(A1788,[1]邦达数据库!$A:$A,[1]邦达数据库!$C:$C)</f>
        <v>#N/A</v>
      </c>
    </row>
    <row r="1789" ht="30" customHeight="1" spans="1:6">
      <c r="A1789" s="4" t="s">
        <v>3790</v>
      </c>
      <c r="B1789" s="5" t="s">
        <v>3791</v>
      </c>
      <c r="C1789" s="5" t="s">
        <v>17</v>
      </c>
      <c r="D1789" s="5" t="s">
        <v>400</v>
      </c>
      <c r="E1789" s="5" t="s">
        <v>401</v>
      </c>
      <c r="F1789" t="e">
        <f>_xlfn.XLOOKUP(A1789,[1]邦达数据库!$A:$A,[1]邦达数据库!$C:$C)</f>
        <v>#N/A</v>
      </c>
    </row>
    <row r="1790" ht="30" customHeight="1" spans="1:6">
      <c r="A1790" s="2" t="s">
        <v>3792</v>
      </c>
      <c r="B1790" s="3" t="s">
        <v>77</v>
      </c>
      <c r="C1790" s="3" t="s">
        <v>78</v>
      </c>
      <c r="D1790" s="3" t="s">
        <v>3793</v>
      </c>
      <c r="E1790" s="3" t="s">
        <v>3794</v>
      </c>
      <c r="F1790" t="e">
        <f>_xlfn.XLOOKUP(A1790,[1]邦达数据库!$A:$A,[1]邦达数据库!$C:$C)</f>
        <v>#N/A</v>
      </c>
    </row>
    <row r="1791" ht="30" customHeight="1" spans="1:6">
      <c r="A1791" s="4" t="s">
        <v>3795</v>
      </c>
      <c r="B1791" s="5" t="s">
        <v>3796</v>
      </c>
      <c r="C1791" s="5" t="s">
        <v>3797</v>
      </c>
      <c r="D1791" s="5" t="s">
        <v>1081</v>
      </c>
      <c r="E1791" s="5" t="s">
        <v>1082</v>
      </c>
      <c r="F1791" t="e">
        <f>_xlfn.XLOOKUP(A1791,[1]邦达数据库!$A:$A,[1]邦达数据库!$C:$C)</f>
        <v>#N/A</v>
      </c>
    </row>
    <row r="1792" ht="30" customHeight="1" spans="1:6">
      <c r="A1792" s="2" t="s">
        <v>3798</v>
      </c>
      <c r="B1792" s="3" t="s">
        <v>3799</v>
      </c>
      <c r="C1792" s="3" t="s">
        <v>3800</v>
      </c>
      <c r="D1792" s="3" t="s">
        <v>421</v>
      </c>
      <c r="E1792" s="3" t="s">
        <v>422</v>
      </c>
      <c r="F1792" t="e">
        <f>_xlfn.XLOOKUP(A1792,[1]邦达数据库!$A:$A,[1]邦达数据库!$C:$C)</f>
        <v>#N/A</v>
      </c>
    </row>
    <row r="1793" ht="30" customHeight="1" spans="1:6">
      <c r="A1793" s="4" t="s">
        <v>3801</v>
      </c>
      <c r="B1793" s="5" t="s">
        <v>3799</v>
      </c>
      <c r="C1793" s="5" t="s">
        <v>3800</v>
      </c>
      <c r="D1793" s="5" t="s">
        <v>1603</v>
      </c>
      <c r="E1793" s="5" t="s">
        <v>1604</v>
      </c>
      <c r="F1793" t="e">
        <f>_xlfn.XLOOKUP(A1793,[1]邦达数据库!$A:$A,[1]邦达数据库!$C:$C)</f>
        <v>#N/A</v>
      </c>
    </row>
    <row r="1794" ht="30" customHeight="1" spans="1:6">
      <c r="A1794" s="2" t="s">
        <v>3802</v>
      </c>
      <c r="B1794" s="3" t="s">
        <v>3803</v>
      </c>
      <c r="C1794" s="3" t="s">
        <v>17</v>
      </c>
      <c r="D1794" s="3" t="s">
        <v>223</v>
      </c>
      <c r="E1794" s="3" t="s">
        <v>224</v>
      </c>
      <c r="F1794" t="e">
        <f>_xlfn.XLOOKUP(A1794,[1]邦达数据库!$A:$A,[1]邦达数据库!$C:$C)</f>
        <v>#N/A</v>
      </c>
    </row>
    <row r="1795" ht="30" customHeight="1" spans="1:6">
      <c r="A1795" s="4" t="s">
        <v>3804</v>
      </c>
      <c r="B1795" s="5" t="s">
        <v>3803</v>
      </c>
      <c r="C1795" s="5" t="s">
        <v>17</v>
      </c>
      <c r="D1795" s="5" t="s">
        <v>223</v>
      </c>
      <c r="E1795" s="5" t="s">
        <v>224</v>
      </c>
      <c r="F1795" t="e">
        <f>_xlfn.XLOOKUP(A1795,[1]邦达数据库!$A:$A,[1]邦达数据库!$C:$C)</f>
        <v>#N/A</v>
      </c>
    </row>
    <row r="1796" ht="30" customHeight="1" spans="1:6">
      <c r="A1796" s="2" t="s">
        <v>3805</v>
      </c>
      <c r="B1796" s="3" t="s">
        <v>3803</v>
      </c>
      <c r="C1796" s="3" t="s">
        <v>17</v>
      </c>
      <c r="D1796" s="3" t="s">
        <v>223</v>
      </c>
      <c r="E1796" s="3" t="s">
        <v>224</v>
      </c>
      <c r="F1796" t="e">
        <f>_xlfn.XLOOKUP(A1796,[1]邦达数据库!$A:$A,[1]邦达数据库!$C:$C)</f>
        <v>#N/A</v>
      </c>
    </row>
    <row r="1797" ht="30" customHeight="1" spans="1:6">
      <c r="A1797" s="4" t="s">
        <v>3806</v>
      </c>
      <c r="B1797" s="5" t="s">
        <v>3807</v>
      </c>
      <c r="C1797" s="5" t="s">
        <v>3808</v>
      </c>
      <c r="D1797" s="5" t="s">
        <v>3809</v>
      </c>
      <c r="E1797" s="5" t="s">
        <v>3810</v>
      </c>
      <c r="F1797" t="e">
        <f>_xlfn.XLOOKUP(A1797,[1]邦达数据库!$A:$A,[1]邦达数据库!$C:$C)</f>
        <v>#N/A</v>
      </c>
    </row>
    <row r="1798" ht="30" customHeight="1" spans="1:6">
      <c r="A1798" s="2" t="s">
        <v>3811</v>
      </c>
      <c r="B1798" s="3" t="s">
        <v>3807</v>
      </c>
      <c r="C1798" s="3" t="s">
        <v>3808</v>
      </c>
      <c r="D1798" s="3" t="s">
        <v>1474</v>
      </c>
      <c r="E1798" s="3" t="s">
        <v>1475</v>
      </c>
      <c r="F1798" t="e">
        <f>_xlfn.XLOOKUP(A1798,[1]邦达数据库!$A:$A,[1]邦达数据库!$C:$C)</f>
        <v>#N/A</v>
      </c>
    </row>
    <row r="1799" ht="30" customHeight="1" spans="1:6">
      <c r="A1799" s="4" t="s">
        <v>3812</v>
      </c>
      <c r="B1799" s="5" t="s">
        <v>3807</v>
      </c>
      <c r="C1799" s="5" t="s">
        <v>3813</v>
      </c>
      <c r="D1799" s="5" t="s">
        <v>1474</v>
      </c>
      <c r="E1799" s="5" t="s">
        <v>1475</v>
      </c>
      <c r="F1799" t="e">
        <f>_xlfn.XLOOKUP(A1799,[1]邦达数据库!$A:$A,[1]邦达数据库!$C:$C)</f>
        <v>#N/A</v>
      </c>
    </row>
    <row r="1800" ht="30" customHeight="1" spans="1:6">
      <c r="A1800" s="2" t="s">
        <v>3814</v>
      </c>
      <c r="B1800" s="3" t="s">
        <v>3815</v>
      </c>
      <c r="C1800" s="3" t="s">
        <v>3813</v>
      </c>
      <c r="D1800" s="3" t="s">
        <v>1285</v>
      </c>
      <c r="E1800" s="3" t="s">
        <v>1286</v>
      </c>
      <c r="F1800" t="e">
        <f>_xlfn.XLOOKUP(A1800,[1]邦达数据库!$A:$A,[1]邦达数据库!$C:$C)</f>
        <v>#N/A</v>
      </c>
    </row>
    <row r="1801" ht="30" customHeight="1" spans="1:6">
      <c r="A1801" s="4" t="s">
        <v>3816</v>
      </c>
      <c r="B1801" s="5" t="s">
        <v>3815</v>
      </c>
      <c r="C1801" s="5" t="s">
        <v>3813</v>
      </c>
      <c r="D1801" s="5" t="s">
        <v>1285</v>
      </c>
      <c r="E1801" s="5" t="s">
        <v>1286</v>
      </c>
      <c r="F1801" t="e">
        <f>_xlfn.XLOOKUP(A1801,[1]邦达数据库!$A:$A,[1]邦达数据库!$C:$C)</f>
        <v>#N/A</v>
      </c>
    </row>
    <row r="1802" ht="30" customHeight="1" spans="1:6">
      <c r="A1802" s="2" t="s">
        <v>3817</v>
      </c>
      <c r="B1802" s="3" t="s">
        <v>463</v>
      </c>
      <c r="C1802" s="3" t="s">
        <v>468</v>
      </c>
      <c r="D1802" s="3" t="s">
        <v>893</v>
      </c>
      <c r="E1802" s="3" t="s">
        <v>894</v>
      </c>
      <c r="F1802" t="e">
        <f>_xlfn.XLOOKUP(A1802,[1]邦达数据库!$A:$A,[1]邦达数据库!$C:$C)</f>
        <v>#N/A</v>
      </c>
    </row>
    <row r="1803" ht="30" customHeight="1" spans="1:6">
      <c r="A1803" s="4" t="s">
        <v>3818</v>
      </c>
      <c r="B1803" s="5" t="s">
        <v>463</v>
      </c>
      <c r="C1803" s="5" t="s">
        <v>468</v>
      </c>
      <c r="D1803" s="5" t="s">
        <v>217</v>
      </c>
      <c r="E1803" s="5" t="s">
        <v>218</v>
      </c>
      <c r="F1803" t="e">
        <f>_xlfn.XLOOKUP(A1803,[1]邦达数据库!$A:$A,[1]邦达数据库!$C:$C)</f>
        <v>#N/A</v>
      </c>
    </row>
    <row r="1804" ht="30" customHeight="1" spans="1:6">
      <c r="A1804" s="2" t="s">
        <v>3819</v>
      </c>
      <c r="B1804" s="3" t="s">
        <v>463</v>
      </c>
      <c r="C1804" s="3" t="s">
        <v>468</v>
      </c>
      <c r="D1804" s="3" t="s">
        <v>469</v>
      </c>
      <c r="E1804" s="3" t="s">
        <v>470</v>
      </c>
      <c r="F1804" t="e">
        <f>_xlfn.XLOOKUP(A1804,[1]邦达数据库!$A:$A,[1]邦达数据库!$C:$C)</f>
        <v>#N/A</v>
      </c>
    </row>
    <row r="1805" ht="30" customHeight="1" spans="1:6">
      <c r="A1805" s="4" t="s">
        <v>3820</v>
      </c>
      <c r="B1805" s="5" t="s">
        <v>463</v>
      </c>
      <c r="C1805" s="5" t="s">
        <v>468</v>
      </c>
      <c r="D1805" s="5" t="s">
        <v>3821</v>
      </c>
      <c r="E1805" s="5" t="s">
        <v>3822</v>
      </c>
      <c r="F1805" t="e">
        <f>_xlfn.XLOOKUP(A1805,[1]邦达数据库!$A:$A,[1]邦达数据库!$C:$C)</f>
        <v>#N/A</v>
      </c>
    </row>
    <row r="1806" ht="30" customHeight="1" spans="1:6">
      <c r="A1806" s="2" t="s">
        <v>3823</v>
      </c>
      <c r="B1806" s="3" t="s">
        <v>463</v>
      </c>
      <c r="C1806" s="3" t="s">
        <v>468</v>
      </c>
      <c r="D1806" s="3" t="s">
        <v>893</v>
      </c>
      <c r="E1806" s="3" t="s">
        <v>894</v>
      </c>
      <c r="F1806" t="e">
        <f>_xlfn.XLOOKUP(A1806,[1]邦达数据库!$A:$A,[1]邦达数据库!$C:$C)</f>
        <v>#N/A</v>
      </c>
    </row>
    <row r="1807" ht="30" customHeight="1" spans="1:6">
      <c r="A1807" s="4" t="s">
        <v>3824</v>
      </c>
      <c r="B1807" s="5" t="s">
        <v>1323</v>
      </c>
      <c r="C1807" s="5" t="s">
        <v>157</v>
      </c>
      <c r="D1807" s="5" t="s">
        <v>524</v>
      </c>
      <c r="E1807" s="5" t="s">
        <v>525</v>
      </c>
      <c r="F1807" t="e">
        <f>_xlfn.XLOOKUP(A1807,[1]邦达数据库!$A:$A,[1]邦达数据库!$C:$C)</f>
        <v>#N/A</v>
      </c>
    </row>
    <row r="1808" ht="30" customHeight="1" spans="1:6">
      <c r="A1808" s="2" t="s">
        <v>3825</v>
      </c>
      <c r="B1808" s="3" t="s">
        <v>3826</v>
      </c>
      <c r="C1808" s="3" t="s">
        <v>2430</v>
      </c>
      <c r="D1808" s="3" t="s">
        <v>404</v>
      </c>
      <c r="E1808" s="3" t="s">
        <v>405</v>
      </c>
      <c r="F1808" t="e">
        <f>_xlfn.XLOOKUP(A1808,[1]邦达数据库!$A:$A,[1]邦达数据库!$C:$C)</f>
        <v>#N/A</v>
      </c>
    </row>
    <row r="1809" ht="30" customHeight="1" spans="1:6">
      <c r="A1809" s="4" t="s">
        <v>3827</v>
      </c>
      <c r="B1809" s="5" t="s">
        <v>3826</v>
      </c>
      <c r="C1809" s="5" t="s">
        <v>2430</v>
      </c>
      <c r="D1809" s="5" t="s">
        <v>1655</v>
      </c>
      <c r="E1809" s="5" t="s">
        <v>1656</v>
      </c>
      <c r="F1809" t="e">
        <f>_xlfn.XLOOKUP(A1809,[1]邦达数据库!$A:$A,[1]邦达数据库!$C:$C)</f>
        <v>#N/A</v>
      </c>
    </row>
    <row r="1810" ht="30" customHeight="1" spans="1:6">
      <c r="A1810" s="2" t="s">
        <v>3828</v>
      </c>
      <c r="B1810" s="3" t="s">
        <v>3826</v>
      </c>
      <c r="C1810" s="3" t="s">
        <v>2430</v>
      </c>
      <c r="D1810" s="3" t="s">
        <v>3829</v>
      </c>
      <c r="E1810" s="3" t="s">
        <v>3830</v>
      </c>
      <c r="F1810" t="e">
        <f>_xlfn.XLOOKUP(A1810,[1]邦达数据库!$A:$A,[1]邦达数据库!$C:$C)</f>
        <v>#N/A</v>
      </c>
    </row>
    <row r="1811" ht="30" customHeight="1" spans="1:6">
      <c r="A1811" s="4" t="s">
        <v>3831</v>
      </c>
      <c r="B1811" s="5" t="s">
        <v>3826</v>
      </c>
      <c r="C1811" s="5" t="s">
        <v>2430</v>
      </c>
      <c r="D1811" s="5" t="s">
        <v>1655</v>
      </c>
      <c r="E1811" s="5" t="s">
        <v>1656</v>
      </c>
      <c r="F1811" t="e">
        <f>_xlfn.XLOOKUP(A1811,[1]邦达数据库!$A:$A,[1]邦达数据库!$C:$C)</f>
        <v>#N/A</v>
      </c>
    </row>
    <row r="1812" ht="30" customHeight="1" spans="1:6">
      <c r="A1812" s="2" t="s">
        <v>3832</v>
      </c>
      <c r="B1812" s="3" t="s">
        <v>3833</v>
      </c>
      <c r="C1812" s="3" t="s">
        <v>3208</v>
      </c>
      <c r="D1812" s="3" t="s">
        <v>140</v>
      </c>
      <c r="E1812" s="3" t="s">
        <v>141</v>
      </c>
      <c r="F1812" t="e">
        <f>_xlfn.XLOOKUP(A1812,[1]邦达数据库!$A:$A,[1]邦达数据库!$C:$C)</f>
        <v>#N/A</v>
      </c>
    </row>
    <row r="1813" ht="30" customHeight="1" spans="1:6">
      <c r="A1813" s="4" t="s">
        <v>3834</v>
      </c>
      <c r="B1813" s="5" t="s">
        <v>3833</v>
      </c>
      <c r="C1813" s="5" t="s">
        <v>3208</v>
      </c>
      <c r="D1813" s="5" t="s">
        <v>1474</v>
      </c>
      <c r="E1813" s="5" t="s">
        <v>1475</v>
      </c>
      <c r="F1813" t="e">
        <f>_xlfn.XLOOKUP(A1813,[1]邦达数据库!$A:$A,[1]邦达数据库!$C:$C)</f>
        <v>#N/A</v>
      </c>
    </row>
    <row r="1814" ht="30" customHeight="1" spans="1:6">
      <c r="A1814" s="2" t="s">
        <v>3835</v>
      </c>
      <c r="B1814" s="3" t="s">
        <v>3833</v>
      </c>
      <c r="C1814" s="3" t="s">
        <v>3208</v>
      </c>
      <c r="D1814" s="3" t="s">
        <v>3836</v>
      </c>
      <c r="E1814" s="3" t="s">
        <v>3837</v>
      </c>
      <c r="F1814" t="e">
        <f>_xlfn.XLOOKUP(A1814,[1]邦达数据库!$A:$A,[1]邦达数据库!$C:$C)</f>
        <v>#N/A</v>
      </c>
    </row>
    <row r="1815" ht="30" customHeight="1" spans="1:6">
      <c r="A1815" s="4" t="s">
        <v>3838</v>
      </c>
      <c r="B1815" s="5" t="s">
        <v>3833</v>
      </c>
      <c r="C1815" s="5" t="s">
        <v>3208</v>
      </c>
      <c r="D1815" s="5" t="s">
        <v>1474</v>
      </c>
      <c r="E1815" s="5" t="s">
        <v>1475</v>
      </c>
      <c r="F1815" t="e">
        <f>_xlfn.XLOOKUP(A1815,[1]邦达数据库!$A:$A,[1]邦达数据库!$C:$C)</f>
        <v>#N/A</v>
      </c>
    </row>
    <row r="1816" ht="30" customHeight="1" spans="1:6">
      <c r="A1816" s="2" t="s">
        <v>3839</v>
      </c>
      <c r="B1816" s="3" t="s">
        <v>676</v>
      </c>
      <c r="C1816" s="3" t="s">
        <v>2430</v>
      </c>
      <c r="D1816" s="3" t="s">
        <v>364</v>
      </c>
      <c r="E1816" s="3" t="s">
        <v>365</v>
      </c>
      <c r="F1816" t="e">
        <f>_xlfn.XLOOKUP(A1816,[1]邦达数据库!$A:$A,[1]邦达数据库!$C:$C)</f>
        <v>#N/A</v>
      </c>
    </row>
    <row r="1817" ht="30" customHeight="1" spans="1:6">
      <c r="A1817" s="4" t="s">
        <v>3840</v>
      </c>
      <c r="B1817" s="5" t="s">
        <v>3841</v>
      </c>
      <c r="C1817" s="5" t="s">
        <v>148</v>
      </c>
      <c r="D1817" s="5" t="s">
        <v>3842</v>
      </c>
      <c r="E1817" s="5" t="s">
        <v>3843</v>
      </c>
      <c r="F1817" t="e">
        <f>_xlfn.XLOOKUP(A1817,[1]邦达数据库!$A:$A,[1]邦达数据库!$C:$C)</f>
        <v>#N/A</v>
      </c>
    </row>
    <row r="1818" ht="30" customHeight="1" spans="1:6">
      <c r="A1818" s="2" t="s">
        <v>3844</v>
      </c>
      <c r="B1818" s="3" t="s">
        <v>3841</v>
      </c>
      <c r="C1818" s="3" t="s">
        <v>148</v>
      </c>
      <c r="D1818" s="3" t="s">
        <v>3842</v>
      </c>
      <c r="E1818" s="3" t="s">
        <v>3843</v>
      </c>
      <c r="F1818" t="e">
        <f>_xlfn.XLOOKUP(A1818,[1]邦达数据库!$A:$A,[1]邦达数据库!$C:$C)</f>
        <v>#N/A</v>
      </c>
    </row>
    <row r="1819" ht="30" customHeight="1" spans="1:6">
      <c r="A1819" s="4" t="s">
        <v>3845</v>
      </c>
      <c r="B1819" s="5" t="s">
        <v>1271</v>
      </c>
      <c r="C1819" s="5" t="s">
        <v>3846</v>
      </c>
      <c r="D1819" s="5" t="s">
        <v>1273</v>
      </c>
      <c r="E1819" s="5" t="s">
        <v>1274</v>
      </c>
      <c r="F1819" t="e">
        <f>_xlfn.XLOOKUP(A1819,[1]邦达数据库!$A:$A,[1]邦达数据库!$C:$C)</f>
        <v>#N/A</v>
      </c>
    </row>
    <row r="1820" ht="30" customHeight="1" spans="1:6">
      <c r="A1820" s="2" t="s">
        <v>3847</v>
      </c>
      <c r="B1820" s="3" t="s">
        <v>3848</v>
      </c>
      <c r="C1820" s="3" t="s">
        <v>3849</v>
      </c>
      <c r="D1820" s="3" t="s">
        <v>364</v>
      </c>
      <c r="E1820" s="3" t="s">
        <v>365</v>
      </c>
      <c r="F1820">
        <f>_xlfn.XLOOKUP(A1820,[1]邦达数据库!$A:$A,[1]邦达数据库!$C:$C)</f>
        <v>9401390000</v>
      </c>
    </row>
    <row r="1821" ht="30" customHeight="1" spans="1:6">
      <c r="A1821" s="4" t="s">
        <v>3850</v>
      </c>
      <c r="B1821" s="5" t="s">
        <v>3848</v>
      </c>
      <c r="C1821" s="5" t="s">
        <v>3851</v>
      </c>
      <c r="D1821" s="5" t="s">
        <v>582</v>
      </c>
      <c r="E1821" s="5" t="s">
        <v>583</v>
      </c>
      <c r="F1821" t="e">
        <f>_xlfn.XLOOKUP(A1821,[1]邦达数据库!$A:$A,[1]邦达数据库!$C:$C)</f>
        <v>#N/A</v>
      </c>
    </row>
    <row r="1822" ht="30" customHeight="1" spans="1:6">
      <c r="A1822" s="2" t="s">
        <v>3852</v>
      </c>
      <c r="B1822" s="3" t="s">
        <v>3848</v>
      </c>
      <c r="C1822" s="3" t="s">
        <v>3851</v>
      </c>
      <c r="D1822" s="3" t="s">
        <v>582</v>
      </c>
      <c r="E1822" s="3" t="s">
        <v>583</v>
      </c>
      <c r="F1822" t="e">
        <f>_xlfn.XLOOKUP(A1822,[1]邦达数据库!$A:$A,[1]邦达数据库!$C:$C)</f>
        <v>#N/A</v>
      </c>
    </row>
    <row r="1823" ht="30" customHeight="1" spans="1:6">
      <c r="A1823" s="4" t="s">
        <v>3853</v>
      </c>
      <c r="B1823" s="5" t="s">
        <v>3848</v>
      </c>
      <c r="C1823" s="5" t="s">
        <v>3851</v>
      </c>
      <c r="D1823" s="5" t="s">
        <v>582</v>
      </c>
      <c r="E1823" s="5" t="s">
        <v>583</v>
      </c>
      <c r="F1823" t="e">
        <f>_xlfn.XLOOKUP(A1823,[1]邦达数据库!$A:$A,[1]邦达数据库!$C:$C)</f>
        <v>#N/A</v>
      </c>
    </row>
    <row r="1824" ht="30" customHeight="1" spans="1:6">
      <c r="A1824" s="2" t="s">
        <v>3854</v>
      </c>
      <c r="B1824" s="3" t="s">
        <v>3848</v>
      </c>
      <c r="C1824" s="3" t="s">
        <v>3851</v>
      </c>
      <c r="D1824" s="3" t="s">
        <v>582</v>
      </c>
      <c r="E1824" s="3" t="s">
        <v>583</v>
      </c>
      <c r="F1824" t="e">
        <f>_xlfn.XLOOKUP(A1824,[1]邦达数据库!$A:$A,[1]邦达数据库!$C:$C)</f>
        <v>#N/A</v>
      </c>
    </row>
    <row r="1825" ht="30" customHeight="1" spans="1:6">
      <c r="A1825" s="4" t="s">
        <v>3855</v>
      </c>
      <c r="B1825" s="5" t="s">
        <v>3848</v>
      </c>
      <c r="C1825" s="5" t="s">
        <v>3851</v>
      </c>
      <c r="D1825" s="5" t="s">
        <v>582</v>
      </c>
      <c r="E1825" s="5" t="s">
        <v>583</v>
      </c>
      <c r="F1825" t="e">
        <f>_xlfn.XLOOKUP(A1825,[1]邦达数据库!$A:$A,[1]邦达数据库!$C:$C)</f>
        <v>#N/A</v>
      </c>
    </row>
    <row r="1826" ht="30" customHeight="1" spans="1:6">
      <c r="A1826" s="2" t="s">
        <v>3856</v>
      </c>
      <c r="B1826" s="3" t="s">
        <v>3857</v>
      </c>
      <c r="C1826" s="3" t="s">
        <v>699</v>
      </c>
      <c r="D1826" s="3" t="s">
        <v>3135</v>
      </c>
      <c r="E1826" s="3" t="s">
        <v>3136</v>
      </c>
      <c r="F1826" t="e">
        <f>_xlfn.XLOOKUP(A1826,[1]邦达数据库!$A:$A,[1]邦达数据库!$C:$C)</f>
        <v>#N/A</v>
      </c>
    </row>
    <row r="1827" ht="30" customHeight="1" spans="1:6">
      <c r="A1827" s="2" t="s">
        <v>3858</v>
      </c>
      <c r="B1827" s="3" t="s">
        <v>3859</v>
      </c>
      <c r="C1827" s="3" t="s">
        <v>17</v>
      </c>
      <c r="D1827" s="3" t="s">
        <v>776</v>
      </c>
      <c r="E1827" s="3" t="s">
        <v>777</v>
      </c>
      <c r="F1827" t="e">
        <f>_xlfn.XLOOKUP(A1827,[1]邦达数据库!$A:$A,[1]邦达数据库!$C:$C)</f>
        <v>#N/A</v>
      </c>
    </row>
    <row r="1828" ht="30" customHeight="1" spans="1:6">
      <c r="A1828" s="4" t="s">
        <v>3860</v>
      </c>
      <c r="B1828" s="5" t="s">
        <v>3861</v>
      </c>
      <c r="C1828" s="5" t="s">
        <v>3862</v>
      </c>
      <c r="D1828" s="5" t="s">
        <v>326</v>
      </c>
      <c r="E1828" s="5" t="s">
        <v>327</v>
      </c>
      <c r="F1828" t="e">
        <f>_xlfn.XLOOKUP(A1828,[1]邦达数据库!$A:$A,[1]邦达数据库!$C:$C)</f>
        <v>#N/A</v>
      </c>
    </row>
    <row r="1829" ht="30" customHeight="1" spans="1:6">
      <c r="A1829" s="2" t="s">
        <v>3863</v>
      </c>
      <c r="B1829" s="3" t="s">
        <v>3861</v>
      </c>
      <c r="C1829" s="3" t="s">
        <v>3862</v>
      </c>
      <c r="D1829" s="3" t="s">
        <v>326</v>
      </c>
      <c r="E1829" s="3" t="s">
        <v>327</v>
      </c>
      <c r="F1829" t="e">
        <f>_xlfn.XLOOKUP(A1829,[1]邦达数据库!$A:$A,[1]邦达数据库!$C:$C)</f>
        <v>#N/A</v>
      </c>
    </row>
    <row r="1830" ht="30" customHeight="1" spans="1:6">
      <c r="A1830" s="4" t="s">
        <v>3864</v>
      </c>
      <c r="B1830" s="5" t="s">
        <v>3865</v>
      </c>
      <c r="C1830" s="5" t="s">
        <v>3866</v>
      </c>
      <c r="D1830" s="5" t="s">
        <v>568</v>
      </c>
      <c r="E1830" s="5" t="s">
        <v>569</v>
      </c>
      <c r="F1830" t="e">
        <f>_xlfn.XLOOKUP(A1830,[1]邦达数据库!$A:$A,[1]邦达数据库!$C:$C)</f>
        <v>#N/A</v>
      </c>
    </row>
    <row r="1831" ht="30" customHeight="1" spans="1:6">
      <c r="A1831" s="2" t="s">
        <v>3867</v>
      </c>
      <c r="B1831" s="3" t="s">
        <v>3868</v>
      </c>
      <c r="C1831" s="3" t="s">
        <v>3869</v>
      </c>
      <c r="D1831" s="3" t="s">
        <v>582</v>
      </c>
      <c r="E1831" s="3" t="s">
        <v>583</v>
      </c>
      <c r="F1831" t="e">
        <f>_xlfn.XLOOKUP(A1831,[1]邦达数据库!$A:$A,[1]邦达数据库!$C:$C)</f>
        <v>#N/A</v>
      </c>
    </row>
    <row r="1832" ht="30" customHeight="1" spans="1:6">
      <c r="A1832" s="4" t="s">
        <v>3870</v>
      </c>
      <c r="B1832" s="5" t="s">
        <v>3868</v>
      </c>
      <c r="C1832" s="5" t="s">
        <v>3869</v>
      </c>
      <c r="D1832" s="5" t="s">
        <v>582</v>
      </c>
      <c r="E1832" s="5" t="s">
        <v>583</v>
      </c>
      <c r="F1832" t="e">
        <f>_xlfn.XLOOKUP(A1832,[1]邦达数据库!$A:$A,[1]邦达数据库!$C:$C)</f>
        <v>#N/A</v>
      </c>
    </row>
    <row r="1833" ht="30" customHeight="1" spans="1:6">
      <c r="A1833" s="2" t="s">
        <v>3871</v>
      </c>
      <c r="B1833" s="3" t="s">
        <v>3868</v>
      </c>
      <c r="C1833" s="3" t="s">
        <v>3869</v>
      </c>
      <c r="D1833" s="3" t="s">
        <v>250</v>
      </c>
      <c r="E1833" s="3" t="s">
        <v>251</v>
      </c>
      <c r="F1833" t="e">
        <f>_xlfn.XLOOKUP(A1833,[1]邦达数据库!$A:$A,[1]邦达数据库!$C:$C)</f>
        <v>#N/A</v>
      </c>
    </row>
    <row r="1834" ht="30" customHeight="1" spans="1:6">
      <c r="A1834" s="4" t="s">
        <v>3872</v>
      </c>
      <c r="B1834" s="5" t="s">
        <v>3868</v>
      </c>
      <c r="C1834" s="5" t="s">
        <v>3869</v>
      </c>
      <c r="D1834" s="5" t="s">
        <v>582</v>
      </c>
      <c r="E1834" s="5" t="s">
        <v>583</v>
      </c>
      <c r="F1834" t="e">
        <f>_xlfn.XLOOKUP(A1834,[1]邦达数据库!$A:$A,[1]邦达数据库!$C:$C)</f>
        <v>#N/A</v>
      </c>
    </row>
    <row r="1835" ht="30" customHeight="1" spans="1:6">
      <c r="A1835" s="2" t="s">
        <v>3873</v>
      </c>
      <c r="B1835" s="3" t="s">
        <v>3868</v>
      </c>
      <c r="C1835" s="3" t="s">
        <v>3869</v>
      </c>
      <c r="D1835" s="3" t="s">
        <v>3874</v>
      </c>
      <c r="E1835" s="3" t="s">
        <v>3875</v>
      </c>
      <c r="F1835" t="e">
        <f>_xlfn.XLOOKUP(A1835,[1]邦达数据库!$A:$A,[1]邦达数据库!$C:$C)</f>
        <v>#N/A</v>
      </c>
    </row>
    <row r="1836" ht="30" customHeight="1" spans="1:6">
      <c r="A1836" s="4" t="s">
        <v>3876</v>
      </c>
      <c r="B1836" s="5" t="s">
        <v>3868</v>
      </c>
      <c r="C1836" s="5" t="s">
        <v>3869</v>
      </c>
      <c r="D1836" s="5" t="s">
        <v>582</v>
      </c>
      <c r="E1836" s="5" t="s">
        <v>583</v>
      </c>
      <c r="F1836" t="e">
        <f>_xlfn.XLOOKUP(A1836,[1]邦达数据库!$A:$A,[1]邦达数据库!$C:$C)</f>
        <v>#N/A</v>
      </c>
    </row>
    <row r="1837" ht="30" customHeight="1" spans="1:6">
      <c r="A1837" s="2" t="s">
        <v>3877</v>
      </c>
      <c r="B1837" s="3" t="s">
        <v>3868</v>
      </c>
      <c r="C1837" s="3" t="s">
        <v>3878</v>
      </c>
      <c r="D1837" s="3" t="s">
        <v>558</v>
      </c>
      <c r="E1837" s="3" t="s">
        <v>559</v>
      </c>
      <c r="F1837" t="e">
        <f>_xlfn.XLOOKUP(A1837,[1]邦达数据库!$A:$A,[1]邦达数据库!$C:$C)</f>
        <v>#N/A</v>
      </c>
    </row>
    <row r="1838" ht="30" customHeight="1" spans="1:6">
      <c r="A1838" s="4" t="s">
        <v>3879</v>
      </c>
      <c r="B1838" s="5" t="s">
        <v>3880</v>
      </c>
      <c r="C1838" s="5" t="s">
        <v>3881</v>
      </c>
      <c r="D1838" s="5" t="s">
        <v>130</v>
      </c>
      <c r="E1838" s="5" t="s">
        <v>131</v>
      </c>
      <c r="F1838" t="e">
        <f>_xlfn.XLOOKUP(A1838,[1]邦达数据库!$A:$A,[1]邦达数据库!$C:$C)</f>
        <v>#N/A</v>
      </c>
    </row>
    <row r="1839" ht="30" customHeight="1" spans="1:6">
      <c r="A1839" s="2" t="s">
        <v>3882</v>
      </c>
      <c r="B1839" s="3" t="s">
        <v>3880</v>
      </c>
      <c r="C1839" s="3" t="s">
        <v>3881</v>
      </c>
      <c r="D1839" s="3" t="s">
        <v>130</v>
      </c>
      <c r="E1839" s="3" t="s">
        <v>131</v>
      </c>
      <c r="F1839" t="e">
        <f>_xlfn.XLOOKUP(A1839,[1]邦达数据库!$A:$A,[1]邦达数据库!$C:$C)</f>
        <v>#N/A</v>
      </c>
    </row>
    <row r="1840" ht="30" customHeight="1" spans="1:6">
      <c r="A1840" s="4" t="s">
        <v>3883</v>
      </c>
      <c r="B1840" s="5" t="s">
        <v>3880</v>
      </c>
      <c r="C1840" s="5" t="s">
        <v>3881</v>
      </c>
      <c r="D1840" s="5" t="s">
        <v>130</v>
      </c>
      <c r="E1840" s="5" t="s">
        <v>131</v>
      </c>
      <c r="F1840" t="e">
        <f>_xlfn.XLOOKUP(A1840,[1]邦达数据库!$A:$A,[1]邦达数据库!$C:$C)</f>
        <v>#N/A</v>
      </c>
    </row>
    <row r="1841" ht="30" customHeight="1" spans="1:6">
      <c r="A1841" s="2" t="s">
        <v>3884</v>
      </c>
      <c r="B1841" s="3" t="s">
        <v>3880</v>
      </c>
      <c r="C1841" s="3" t="s">
        <v>3881</v>
      </c>
      <c r="D1841" s="3" t="s">
        <v>130</v>
      </c>
      <c r="E1841" s="3" t="s">
        <v>131</v>
      </c>
      <c r="F1841" t="e">
        <f>_xlfn.XLOOKUP(A1841,[1]邦达数据库!$A:$A,[1]邦达数据库!$C:$C)</f>
        <v>#N/A</v>
      </c>
    </row>
    <row r="1842" ht="30" customHeight="1" spans="1:6">
      <c r="A1842" s="4" t="s">
        <v>3885</v>
      </c>
      <c r="B1842" s="5" t="s">
        <v>3880</v>
      </c>
      <c r="C1842" s="5" t="s">
        <v>3881</v>
      </c>
      <c r="D1842" s="5" t="s">
        <v>124</v>
      </c>
      <c r="E1842" s="5" t="s">
        <v>125</v>
      </c>
      <c r="F1842" t="e">
        <f>_xlfn.XLOOKUP(A1842,[1]邦达数据库!$A:$A,[1]邦达数据库!$C:$C)</f>
        <v>#N/A</v>
      </c>
    </row>
    <row r="1843" ht="30" customHeight="1" spans="1:6">
      <c r="A1843" s="2" t="s">
        <v>3886</v>
      </c>
      <c r="B1843" s="3" t="s">
        <v>3887</v>
      </c>
      <c r="C1843" s="3" t="s">
        <v>874</v>
      </c>
      <c r="D1843" s="3" t="s">
        <v>1659</v>
      </c>
      <c r="E1843" s="3" t="s">
        <v>1660</v>
      </c>
      <c r="F1843" t="e">
        <f>_xlfn.XLOOKUP(A1843,[1]邦达数据库!$A:$A,[1]邦达数据库!$C:$C)</f>
        <v>#N/A</v>
      </c>
    </row>
    <row r="1844" ht="30" customHeight="1" spans="1:6">
      <c r="A1844" s="4" t="s">
        <v>3888</v>
      </c>
      <c r="B1844" s="5" t="s">
        <v>3887</v>
      </c>
      <c r="C1844" s="5" t="s">
        <v>874</v>
      </c>
      <c r="D1844" s="5" t="s">
        <v>1038</v>
      </c>
      <c r="E1844" s="5" t="s">
        <v>1039</v>
      </c>
      <c r="F1844" t="e">
        <f>_xlfn.XLOOKUP(A1844,[1]邦达数据库!$A:$A,[1]邦达数据库!$C:$C)</f>
        <v>#N/A</v>
      </c>
    </row>
    <row r="1845" ht="30" customHeight="1" spans="1:6">
      <c r="A1845" s="2" t="s">
        <v>3889</v>
      </c>
      <c r="B1845" s="3" t="s">
        <v>3887</v>
      </c>
      <c r="C1845" s="3" t="s">
        <v>874</v>
      </c>
      <c r="D1845" s="3" t="s">
        <v>1659</v>
      </c>
      <c r="E1845" s="3" t="s">
        <v>1660</v>
      </c>
      <c r="F1845" t="e">
        <f>_xlfn.XLOOKUP(A1845,[1]邦达数据库!$A:$A,[1]邦达数据库!$C:$C)</f>
        <v>#N/A</v>
      </c>
    </row>
    <row r="1846" ht="30" customHeight="1" spans="1:6">
      <c r="A1846" s="4" t="s">
        <v>3890</v>
      </c>
      <c r="B1846" s="5" t="s">
        <v>3887</v>
      </c>
      <c r="C1846" s="5" t="s">
        <v>874</v>
      </c>
      <c r="D1846" s="5" t="s">
        <v>853</v>
      </c>
      <c r="E1846" s="5" t="s">
        <v>854</v>
      </c>
      <c r="F1846" t="e">
        <f>_xlfn.XLOOKUP(A1846,[1]邦达数据库!$A:$A,[1]邦达数据库!$C:$C)</f>
        <v>#N/A</v>
      </c>
    </row>
    <row r="1847" ht="30" customHeight="1" spans="1:6">
      <c r="A1847" s="2" t="s">
        <v>3891</v>
      </c>
      <c r="B1847" s="3" t="s">
        <v>3887</v>
      </c>
      <c r="C1847" s="3" t="s">
        <v>874</v>
      </c>
      <c r="D1847" s="3" t="s">
        <v>1659</v>
      </c>
      <c r="E1847" s="3" t="s">
        <v>1660</v>
      </c>
      <c r="F1847" t="e">
        <f>_xlfn.XLOOKUP(A1847,[1]邦达数据库!$A:$A,[1]邦达数据库!$C:$C)</f>
        <v>#N/A</v>
      </c>
    </row>
    <row r="1848" ht="30" customHeight="1" spans="1:6">
      <c r="A1848" s="4" t="s">
        <v>3892</v>
      </c>
      <c r="B1848" s="5" t="s">
        <v>3887</v>
      </c>
      <c r="C1848" s="5" t="s">
        <v>874</v>
      </c>
      <c r="D1848" s="5" t="s">
        <v>1659</v>
      </c>
      <c r="E1848" s="5" t="s">
        <v>1660</v>
      </c>
      <c r="F1848" t="e">
        <f>_xlfn.XLOOKUP(A1848,[1]邦达数据库!$A:$A,[1]邦达数据库!$C:$C)</f>
        <v>#N/A</v>
      </c>
    </row>
    <row r="1849" ht="30" customHeight="1" spans="1:6">
      <c r="A1849" s="2" t="s">
        <v>3893</v>
      </c>
      <c r="B1849" s="3" t="s">
        <v>3585</v>
      </c>
      <c r="C1849" s="3" t="s">
        <v>2286</v>
      </c>
      <c r="D1849" s="3" t="s">
        <v>482</v>
      </c>
      <c r="E1849" s="3" t="s">
        <v>483</v>
      </c>
      <c r="F1849" t="e">
        <f>_xlfn.XLOOKUP(A1849,[1]邦达数据库!$A:$A,[1]邦达数据库!$C:$C)</f>
        <v>#N/A</v>
      </c>
    </row>
    <row r="1850" ht="30" customHeight="1" spans="1:6">
      <c r="A1850" s="4" t="s">
        <v>3894</v>
      </c>
      <c r="B1850" s="5" t="s">
        <v>3585</v>
      </c>
      <c r="C1850" s="5" t="s">
        <v>2286</v>
      </c>
      <c r="D1850" s="5" t="s">
        <v>482</v>
      </c>
      <c r="E1850" s="5" t="s">
        <v>483</v>
      </c>
      <c r="F1850" t="e">
        <f>_xlfn.XLOOKUP(A1850,[1]邦达数据库!$A:$A,[1]邦达数据库!$C:$C)</f>
        <v>#N/A</v>
      </c>
    </row>
    <row r="1851" ht="30" customHeight="1" spans="1:6">
      <c r="A1851" s="2" t="s">
        <v>3895</v>
      </c>
      <c r="B1851" s="3" t="s">
        <v>3896</v>
      </c>
      <c r="C1851" s="3" t="s">
        <v>3897</v>
      </c>
      <c r="D1851" s="3" t="s">
        <v>558</v>
      </c>
      <c r="E1851" s="3" t="s">
        <v>559</v>
      </c>
      <c r="F1851" t="e">
        <f>_xlfn.XLOOKUP(A1851,[1]邦达数据库!$A:$A,[1]邦达数据库!$C:$C)</f>
        <v>#N/A</v>
      </c>
    </row>
    <row r="1852" ht="30" customHeight="1" spans="1:6">
      <c r="A1852" s="4" t="s">
        <v>3898</v>
      </c>
      <c r="B1852" s="5" t="s">
        <v>3896</v>
      </c>
      <c r="C1852" s="5" t="s">
        <v>3897</v>
      </c>
      <c r="D1852" s="5" t="s">
        <v>2354</v>
      </c>
      <c r="E1852" s="5" t="s">
        <v>2355</v>
      </c>
      <c r="F1852" t="e">
        <f>_xlfn.XLOOKUP(A1852,[1]邦达数据库!$A:$A,[1]邦达数据库!$C:$C)</f>
        <v>#N/A</v>
      </c>
    </row>
    <row r="1853" ht="30" customHeight="1" spans="1:6">
      <c r="A1853" s="2" t="s">
        <v>3899</v>
      </c>
      <c r="B1853" s="3" t="s">
        <v>3896</v>
      </c>
      <c r="C1853" s="3" t="s">
        <v>3897</v>
      </c>
      <c r="D1853" s="3" t="s">
        <v>421</v>
      </c>
      <c r="E1853" s="3" t="s">
        <v>422</v>
      </c>
      <c r="F1853" t="e">
        <f>_xlfn.XLOOKUP(A1853,[1]邦达数据库!$A:$A,[1]邦达数据库!$C:$C)</f>
        <v>#N/A</v>
      </c>
    </row>
    <row r="1854" ht="30" customHeight="1" spans="1:6">
      <c r="A1854" s="4" t="s">
        <v>3900</v>
      </c>
      <c r="B1854" s="5" t="s">
        <v>3896</v>
      </c>
      <c r="C1854" s="5" t="s">
        <v>3897</v>
      </c>
      <c r="D1854" s="5" t="s">
        <v>558</v>
      </c>
      <c r="E1854" s="5" t="s">
        <v>559</v>
      </c>
      <c r="F1854" t="e">
        <f>_xlfn.XLOOKUP(A1854,[1]邦达数据库!$A:$A,[1]邦达数据库!$C:$C)</f>
        <v>#N/A</v>
      </c>
    </row>
    <row r="1855" ht="30" customHeight="1" spans="1:6">
      <c r="A1855" s="2" t="s">
        <v>3901</v>
      </c>
      <c r="B1855" s="3" t="s">
        <v>3902</v>
      </c>
      <c r="C1855" s="3" t="s">
        <v>3903</v>
      </c>
      <c r="D1855" s="3" t="s">
        <v>3904</v>
      </c>
      <c r="E1855" s="3" t="s">
        <v>3905</v>
      </c>
      <c r="F1855" t="e">
        <f>_xlfn.XLOOKUP(A1855,[1]邦达数据库!$A:$A,[1]邦达数据库!$C:$C)</f>
        <v>#N/A</v>
      </c>
    </row>
    <row r="1856" ht="30" customHeight="1" spans="1:6">
      <c r="A1856" s="4" t="s">
        <v>3906</v>
      </c>
      <c r="B1856" s="5" t="s">
        <v>3902</v>
      </c>
      <c r="C1856" s="5" t="s">
        <v>3903</v>
      </c>
      <c r="D1856" s="5" t="s">
        <v>3907</v>
      </c>
      <c r="E1856" s="5" t="s">
        <v>3908</v>
      </c>
      <c r="F1856" t="e">
        <f>_xlfn.XLOOKUP(A1856,[1]邦达数据库!$A:$A,[1]邦达数据库!$C:$C)</f>
        <v>#N/A</v>
      </c>
    </row>
    <row r="1857" ht="30" customHeight="1" spans="1:6">
      <c r="A1857" s="2" t="s">
        <v>3909</v>
      </c>
      <c r="B1857" s="3" t="s">
        <v>3902</v>
      </c>
      <c r="C1857" s="3" t="s">
        <v>3910</v>
      </c>
      <c r="D1857" s="3" t="s">
        <v>79</v>
      </c>
      <c r="E1857" s="3" t="s">
        <v>80</v>
      </c>
      <c r="F1857" t="e">
        <f>_xlfn.XLOOKUP(A1857,[1]邦达数据库!$A:$A,[1]邦达数据库!$C:$C)</f>
        <v>#N/A</v>
      </c>
    </row>
    <row r="1858" ht="30" customHeight="1" spans="1:6">
      <c r="A1858" s="4" t="s">
        <v>3911</v>
      </c>
      <c r="B1858" s="5" t="s">
        <v>3912</v>
      </c>
      <c r="C1858" s="5" t="s">
        <v>791</v>
      </c>
      <c r="D1858" s="5" t="s">
        <v>3913</v>
      </c>
      <c r="E1858" s="5" t="s">
        <v>3914</v>
      </c>
      <c r="F1858" t="e">
        <f>_xlfn.XLOOKUP(A1858,[1]邦达数据库!$A:$A,[1]邦达数据库!$C:$C)</f>
        <v>#N/A</v>
      </c>
    </row>
    <row r="1859" ht="30" customHeight="1" spans="1:6">
      <c r="A1859" s="2" t="s">
        <v>3915</v>
      </c>
      <c r="B1859" s="3" t="s">
        <v>3912</v>
      </c>
      <c r="C1859" s="3" t="s">
        <v>791</v>
      </c>
      <c r="D1859" s="3" t="s">
        <v>2928</v>
      </c>
      <c r="E1859" s="3" t="s">
        <v>2929</v>
      </c>
      <c r="F1859" t="e">
        <f>_xlfn.XLOOKUP(A1859,[1]邦达数据库!$A:$A,[1]邦达数据库!$C:$C)</f>
        <v>#N/A</v>
      </c>
    </row>
    <row r="1860" ht="30" customHeight="1" spans="1:6">
      <c r="A1860" s="4" t="s">
        <v>3916</v>
      </c>
      <c r="B1860" s="5" t="s">
        <v>3917</v>
      </c>
      <c r="C1860" s="5" t="s">
        <v>3918</v>
      </c>
      <c r="D1860" s="5" t="s">
        <v>301</v>
      </c>
      <c r="E1860" s="5" t="s">
        <v>302</v>
      </c>
      <c r="F1860" t="e">
        <f>_xlfn.XLOOKUP(A1860,[1]邦达数据库!$A:$A,[1]邦达数据库!$C:$C)</f>
        <v>#N/A</v>
      </c>
    </row>
    <row r="1861" ht="30" customHeight="1" spans="1:6">
      <c r="A1861" s="2" t="s">
        <v>3919</v>
      </c>
      <c r="B1861" s="3" t="s">
        <v>3917</v>
      </c>
      <c r="C1861" s="3" t="s">
        <v>3920</v>
      </c>
      <c r="D1861" s="3" t="s">
        <v>1890</v>
      </c>
      <c r="E1861" s="3" t="s">
        <v>1891</v>
      </c>
      <c r="F1861" t="e">
        <f>_xlfn.XLOOKUP(A1861,[1]邦达数据库!$A:$A,[1]邦达数据库!$C:$C)</f>
        <v>#N/A</v>
      </c>
    </row>
    <row r="1862" ht="30" customHeight="1" spans="1:6">
      <c r="A1862" s="4" t="s">
        <v>3921</v>
      </c>
      <c r="B1862" s="5" t="s">
        <v>3917</v>
      </c>
      <c r="C1862" s="5" t="s">
        <v>3918</v>
      </c>
      <c r="D1862" s="5" t="s">
        <v>1201</v>
      </c>
      <c r="E1862" s="5" t="s">
        <v>1202</v>
      </c>
      <c r="F1862" t="e">
        <f>_xlfn.XLOOKUP(A1862,[1]邦达数据库!$A:$A,[1]邦达数据库!$C:$C)</f>
        <v>#N/A</v>
      </c>
    </row>
    <row r="1863" ht="30" customHeight="1" spans="1:6">
      <c r="A1863" s="2" t="s">
        <v>3922</v>
      </c>
      <c r="B1863" s="3" t="s">
        <v>3917</v>
      </c>
      <c r="C1863" s="3" t="s">
        <v>3918</v>
      </c>
      <c r="D1863" s="3" t="s">
        <v>1201</v>
      </c>
      <c r="E1863" s="3" t="s">
        <v>1202</v>
      </c>
      <c r="F1863" t="e">
        <f>_xlfn.XLOOKUP(A1863,[1]邦达数据库!$A:$A,[1]邦达数据库!$C:$C)</f>
        <v>#N/A</v>
      </c>
    </row>
    <row r="1864" ht="30" customHeight="1" spans="1:6">
      <c r="A1864" s="4" t="s">
        <v>3923</v>
      </c>
      <c r="B1864" s="5" t="s">
        <v>3912</v>
      </c>
      <c r="C1864" s="5" t="s">
        <v>791</v>
      </c>
      <c r="D1864" s="5" t="s">
        <v>3924</v>
      </c>
      <c r="E1864" s="5" t="s">
        <v>3925</v>
      </c>
      <c r="F1864" t="e">
        <f>_xlfn.XLOOKUP(A1864,[1]邦达数据库!$A:$A,[1]邦达数据库!$C:$C)</f>
        <v>#N/A</v>
      </c>
    </row>
    <row r="1865" ht="30" customHeight="1" spans="1:6">
      <c r="A1865" s="2" t="s">
        <v>3926</v>
      </c>
      <c r="B1865" s="3" t="s">
        <v>3927</v>
      </c>
      <c r="C1865" s="3" t="s">
        <v>3928</v>
      </c>
      <c r="D1865" s="3" t="s">
        <v>568</v>
      </c>
      <c r="E1865" s="3" t="s">
        <v>569</v>
      </c>
      <c r="F1865" t="e">
        <f>_xlfn.XLOOKUP(A1865,[1]邦达数据库!$A:$A,[1]邦达数据库!$C:$C)</f>
        <v>#N/A</v>
      </c>
    </row>
    <row r="1866" ht="30" customHeight="1" spans="1:6">
      <c r="A1866" s="4" t="s">
        <v>3929</v>
      </c>
      <c r="B1866" s="5" t="s">
        <v>3930</v>
      </c>
      <c r="C1866" s="5" t="s">
        <v>449</v>
      </c>
      <c r="D1866" s="5" t="s">
        <v>223</v>
      </c>
      <c r="E1866" s="5" t="s">
        <v>224</v>
      </c>
      <c r="F1866" t="e">
        <f>_xlfn.XLOOKUP(A1866,[1]邦达数据库!$A:$A,[1]邦达数据库!$C:$C)</f>
        <v>#N/A</v>
      </c>
    </row>
    <row r="1867" ht="30" customHeight="1" spans="1:6">
      <c r="A1867" s="2" t="s">
        <v>3931</v>
      </c>
      <c r="B1867" s="3" t="s">
        <v>3930</v>
      </c>
      <c r="C1867" s="3" t="s">
        <v>449</v>
      </c>
      <c r="D1867" s="3" t="s">
        <v>223</v>
      </c>
      <c r="E1867" s="3" t="s">
        <v>224</v>
      </c>
      <c r="F1867" t="e">
        <f>_xlfn.XLOOKUP(A1867,[1]邦达数据库!$A:$A,[1]邦达数据库!$C:$C)</f>
        <v>#N/A</v>
      </c>
    </row>
    <row r="1868" ht="30" customHeight="1" spans="1:6">
      <c r="A1868" s="4" t="s">
        <v>3932</v>
      </c>
      <c r="B1868" s="5" t="s">
        <v>3933</v>
      </c>
      <c r="C1868" s="5" t="s">
        <v>17</v>
      </c>
      <c r="D1868" s="5" t="s">
        <v>1856</v>
      </c>
      <c r="E1868" s="5" t="s">
        <v>1857</v>
      </c>
      <c r="F1868" t="e">
        <f>_xlfn.XLOOKUP(A1868,[1]邦达数据库!$A:$A,[1]邦达数据库!$C:$C)</f>
        <v>#N/A</v>
      </c>
    </row>
    <row r="1869" ht="30" customHeight="1" spans="1:6">
      <c r="A1869" s="2" t="s">
        <v>3934</v>
      </c>
      <c r="B1869" s="3" t="s">
        <v>3935</v>
      </c>
      <c r="C1869" s="3" t="s">
        <v>1819</v>
      </c>
      <c r="D1869" s="3" t="s">
        <v>130</v>
      </c>
      <c r="E1869" s="3" t="s">
        <v>131</v>
      </c>
      <c r="F1869" t="e">
        <f>_xlfn.XLOOKUP(A1869,[1]邦达数据库!$A:$A,[1]邦达数据库!$C:$C)</f>
        <v>#N/A</v>
      </c>
    </row>
    <row r="1870" ht="30" customHeight="1" spans="1:6">
      <c r="A1870" s="4" t="s">
        <v>3936</v>
      </c>
      <c r="B1870" s="5" t="s">
        <v>3937</v>
      </c>
      <c r="C1870" s="5" t="s">
        <v>1819</v>
      </c>
      <c r="D1870" s="5" t="s">
        <v>130</v>
      </c>
      <c r="E1870" s="5" t="s">
        <v>131</v>
      </c>
      <c r="F1870" t="e">
        <f>_xlfn.XLOOKUP(A1870,[1]邦达数据库!$A:$A,[1]邦达数据库!$C:$C)</f>
        <v>#N/A</v>
      </c>
    </row>
    <row r="1871" ht="30" customHeight="1" spans="1:6">
      <c r="A1871" s="2" t="s">
        <v>3938</v>
      </c>
      <c r="B1871" s="3" t="s">
        <v>3939</v>
      </c>
      <c r="C1871" s="3" t="s">
        <v>17</v>
      </c>
      <c r="D1871" s="3" t="s">
        <v>588</v>
      </c>
      <c r="E1871" s="3" t="s">
        <v>589</v>
      </c>
      <c r="F1871" t="e">
        <f>_xlfn.XLOOKUP(A1871,[1]邦达数据库!$A:$A,[1]邦达数据库!$C:$C)</f>
        <v>#N/A</v>
      </c>
    </row>
    <row r="1872" ht="30" customHeight="1" spans="1:6">
      <c r="A1872" s="4" t="s">
        <v>3940</v>
      </c>
      <c r="B1872" s="5" t="s">
        <v>3939</v>
      </c>
      <c r="C1872" s="5" t="s">
        <v>17</v>
      </c>
      <c r="D1872" s="5" t="s">
        <v>181</v>
      </c>
      <c r="E1872" s="5" t="s">
        <v>182</v>
      </c>
      <c r="F1872" t="e">
        <f>_xlfn.XLOOKUP(A1872,[1]邦达数据库!$A:$A,[1]邦达数据库!$C:$C)</f>
        <v>#N/A</v>
      </c>
    </row>
    <row r="1873" ht="30" customHeight="1" spans="1:6">
      <c r="A1873" s="2" t="s">
        <v>3941</v>
      </c>
      <c r="B1873" s="3" t="s">
        <v>3942</v>
      </c>
      <c r="C1873" s="3" t="s">
        <v>17</v>
      </c>
      <c r="D1873" s="3" t="s">
        <v>856</v>
      </c>
      <c r="E1873" s="3" t="s">
        <v>857</v>
      </c>
      <c r="F1873" t="e">
        <f>_xlfn.XLOOKUP(A1873,[1]邦达数据库!$A:$A,[1]邦达数据库!$C:$C)</f>
        <v>#N/A</v>
      </c>
    </row>
    <row r="1874" ht="30" customHeight="1" spans="1:6">
      <c r="A1874" s="4" t="s">
        <v>3943</v>
      </c>
      <c r="B1874" s="5" t="s">
        <v>3944</v>
      </c>
      <c r="C1874" s="5" t="s">
        <v>3881</v>
      </c>
      <c r="D1874" s="5" t="s">
        <v>217</v>
      </c>
      <c r="E1874" s="5" t="s">
        <v>218</v>
      </c>
      <c r="F1874" t="e">
        <f>_xlfn.XLOOKUP(A1874,[1]邦达数据库!$A:$A,[1]邦达数据库!$C:$C)</f>
        <v>#N/A</v>
      </c>
    </row>
    <row r="1875" ht="30" customHeight="1" spans="1:6">
      <c r="A1875" s="2" t="s">
        <v>3945</v>
      </c>
      <c r="B1875" s="3" t="s">
        <v>3944</v>
      </c>
      <c r="C1875" s="3" t="s">
        <v>3946</v>
      </c>
      <c r="D1875" s="3" t="s">
        <v>173</v>
      </c>
      <c r="E1875" s="3" t="s">
        <v>174</v>
      </c>
      <c r="F1875" t="e">
        <f>_xlfn.XLOOKUP(A1875,[1]邦达数据库!$A:$A,[1]邦达数据库!$C:$C)</f>
        <v>#N/A</v>
      </c>
    </row>
    <row r="1876" ht="30" customHeight="1" spans="1:6">
      <c r="A1876" s="4" t="s">
        <v>3947</v>
      </c>
      <c r="B1876" s="5" t="s">
        <v>3948</v>
      </c>
      <c r="C1876" s="5" t="s">
        <v>3881</v>
      </c>
      <c r="D1876" s="5" t="s">
        <v>3949</v>
      </c>
      <c r="E1876" s="5" t="s">
        <v>3950</v>
      </c>
      <c r="F1876" t="e">
        <f>_xlfn.XLOOKUP(A1876,[1]邦达数据库!$A:$A,[1]邦达数据库!$C:$C)</f>
        <v>#N/A</v>
      </c>
    </row>
    <row r="1877" ht="30" customHeight="1" spans="1:6">
      <c r="A1877" s="2" t="s">
        <v>3951</v>
      </c>
      <c r="B1877" s="3" t="s">
        <v>3944</v>
      </c>
      <c r="C1877" s="3" t="s">
        <v>3881</v>
      </c>
      <c r="D1877" s="3" t="s">
        <v>618</v>
      </c>
      <c r="E1877" s="3" t="s">
        <v>619</v>
      </c>
      <c r="F1877" t="e">
        <f>_xlfn.XLOOKUP(A1877,[1]邦达数据库!$A:$A,[1]邦达数据库!$C:$C)</f>
        <v>#N/A</v>
      </c>
    </row>
    <row r="1878" ht="30" customHeight="1" spans="1:6">
      <c r="A1878" s="4" t="s">
        <v>3952</v>
      </c>
      <c r="B1878" s="5" t="s">
        <v>3953</v>
      </c>
      <c r="C1878" s="5" t="s">
        <v>3954</v>
      </c>
      <c r="D1878" s="5" t="s">
        <v>400</v>
      </c>
      <c r="E1878" s="5" t="s">
        <v>401</v>
      </c>
      <c r="F1878" t="e">
        <f>_xlfn.XLOOKUP(A1878,[1]邦达数据库!$A:$A,[1]邦达数据库!$C:$C)</f>
        <v>#N/A</v>
      </c>
    </row>
    <row r="1879" ht="30" customHeight="1" spans="1:6">
      <c r="A1879" s="2" t="s">
        <v>3955</v>
      </c>
      <c r="B1879" s="3" t="s">
        <v>974</v>
      </c>
      <c r="C1879" s="3" t="s">
        <v>975</v>
      </c>
      <c r="D1879" s="3" t="s">
        <v>117</v>
      </c>
      <c r="E1879" s="3" t="s">
        <v>118</v>
      </c>
      <c r="F1879" t="e">
        <f>_xlfn.XLOOKUP(A1879,[1]邦达数据库!$A:$A,[1]邦达数据库!$C:$C)</f>
        <v>#N/A</v>
      </c>
    </row>
    <row r="1880" ht="30" customHeight="1" spans="1:6">
      <c r="A1880" s="4" t="s">
        <v>3956</v>
      </c>
      <c r="B1880" s="5" t="s">
        <v>974</v>
      </c>
      <c r="C1880" s="5" t="s">
        <v>982</v>
      </c>
      <c r="D1880" s="5" t="s">
        <v>3343</v>
      </c>
      <c r="E1880" s="5" t="s">
        <v>3344</v>
      </c>
      <c r="F1880" t="e">
        <f>_xlfn.XLOOKUP(A1880,[1]邦达数据库!$A:$A,[1]邦达数据库!$C:$C)</f>
        <v>#N/A</v>
      </c>
    </row>
    <row r="1881" ht="30" customHeight="1" spans="1:6">
      <c r="A1881" s="2" t="s">
        <v>3957</v>
      </c>
      <c r="B1881" s="3" t="s">
        <v>3958</v>
      </c>
      <c r="C1881" s="3" t="s">
        <v>3959</v>
      </c>
      <c r="D1881" s="3" t="s">
        <v>3960</v>
      </c>
      <c r="E1881" s="3" t="s">
        <v>3961</v>
      </c>
      <c r="F1881" t="str">
        <f>_xlfn.XLOOKUP(A1881,[1]邦达数据库!$A:$A,[1]邦达数据库!$C:$C)</f>
        <v>8421.19.2000</v>
      </c>
    </row>
    <row r="1882" ht="30" customHeight="1" spans="1:6">
      <c r="A1882" s="4" t="s">
        <v>3962</v>
      </c>
      <c r="B1882" s="5" t="s">
        <v>3963</v>
      </c>
      <c r="C1882" s="5" t="s">
        <v>3964</v>
      </c>
      <c r="D1882" s="5" t="s">
        <v>3965</v>
      </c>
      <c r="E1882" s="5" t="s">
        <v>3966</v>
      </c>
      <c r="F1882" t="e">
        <f>_xlfn.XLOOKUP(A1882,[1]邦达数据库!$A:$A,[1]邦达数据库!$C:$C)</f>
        <v>#N/A</v>
      </c>
    </row>
    <row r="1883" ht="30" customHeight="1" spans="1:6">
      <c r="A1883" s="2" t="s">
        <v>3967</v>
      </c>
      <c r="B1883" s="3" t="s">
        <v>3968</v>
      </c>
      <c r="C1883" s="3" t="s">
        <v>1999</v>
      </c>
      <c r="D1883" s="3" t="s">
        <v>130</v>
      </c>
      <c r="E1883" s="3" t="s">
        <v>131</v>
      </c>
      <c r="F1883" t="e">
        <f>_xlfn.XLOOKUP(A1883,[1]邦达数据库!$A:$A,[1]邦达数据库!$C:$C)</f>
        <v>#N/A</v>
      </c>
    </row>
    <row r="1884" ht="30" customHeight="1" spans="1:6">
      <c r="A1884" s="4" t="s">
        <v>3969</v>
      </c>
      <c r="B1884" s="5" t="s">
        <v>3968</v>
      </c>
      <c r="C1884" s="5" t="s">
        <v>1999</v>
      </c>
      <c r="D1884" s="5" t="s">
        <v>124</v>
      </c>
      <c r="E1884" s="5" t="s">
        <v>125</v>
      </c>
      <c r="F1884" t="e">
        <f>_xlfn.XLOOKUP(A1884,[1]邦达数据库!$A:$A,[1]邦达数据库!$C:$C)</f>
        <v>#N/A</v>
      </c>
    </row>
    <row r="1885" ht="30" customHeight="1" spans="1:6">
      <c r="A1885" s="2" t="s">
        <v>3970</v>
      </c>
      <c r="B1885" s="3" t="s">
        <v>3968</v>
      </c>
      <c r="C1885" s="3" t="s">
        <v>1999</v>
      </c>
      <c r="D1885" s="3" t="s">
        <v>568</v>
      </c>
      <c r="E1885" s="3" t="s">
        <v>569</v>
      </c>
      <c r="F1885" t="e">
        <f>_xlfn.XLOOKUP(A1885,[1]邦达数据库!$A:$A,[1]邦达数据库!$C:$C)</f>
        <v>#N/A</v>
      </c>
    </row>
    <row r="1886" ht="30" customHeight="1" spans="1:6">
      <c r="A1886" s="4" t="s">
        <v>3971</v>
      </c>
      <c r="B1886" s="5" t="s">
        <v>3968</v>
      </c>
      <c r="C1886" s="5" t="s">
        <v>1999</v>
      </c>
      <c r="D1886" s="5" t="s">
        <v>130</v>
      </c>
      <c r="E1886" s="5" t="s">
        <v>131</v>
      </c>
      <c r="F1886" t="e">
        <f>_xlfn.XLOOKUP(A1886,[1]邦达数据库!$A:$A,[1]邦达数据库!$C:$C)</f>
        <v>#N/A</v>
      </c>
    </row>
    <row r="1887" ht="30" customHeight="1" spans="1:6">
      <c r="A1887" s="2" t="s">
        <v>3972</v>
      </c>
      <c r="B1887" s="3" t="s">
        <v>3968</v>
      </c>
      <c r="C1887" s="3" t="s">
        <v>1999</v>
      </c>
      <c r="D1887" s="3" t="s">
        <v>124</v>
      </c>
      <c r="E1887" s="3" t="s">
        <v>125</v>
      </c>
      <c r="F1887" t="e">
        <f>_xlfn.XLOOKUP(A1887,[1]邦达数据库!$A:$A,[1]邦达数据库!$C:$C)</f>
        <v>#N/A</v>
      </c>
    </row>
    <row r="1888" ht="30" customHeight="1" spans="1:6">
      <c r="A1888" s="4" t="s">
        <v>3973</v>
      </c>
      <c r="B1888" s="5" t="s">
        <v>3968</v>
      </c>
      <c r="C1888" s="5" t="s">
        <v>1999</v>
      </c>
      <c r="D1888" s="5" t="s">
        <v>568</v>
      </c>
      <c r="E1888" s="5" t="s">
        <v>569</v>
      </c>
      <c r="F1888" t="e">
        <f>_xlfn.XLOOKUP(A1888,[1]邦达数据库!$A:$A,[1]邦达数据库!$C:$C)</f>
        <v>#N/A</v>
      </c>
    </row>
    <row r="1889" ht="30" customHeight="1" spans="1:6">
      <c r="A1889" s="2" t="s">
        <v>3974</v>
      </c>
      <c r="B1889" s="3" t="s">
        <v>3975</v>
      </c>
      <c r="C1889" s="3" t="s">
        <v>3976</v>
      </c>
      <c r="D1889" s="3" t="s">
        <v>3977</v>
      </c>
      <c r="E1889" s="3" t="s">
        <v>3978</v>
      </c>
      <c r="F1889" t="e">
        <f>_xlfn.XLOOKUP(A1889,[1]邦达数据库!$A:$A,[1]邦达数据库!$C:$C)</f>
        <v>#N/A</v>
      </c>
    </row>
    <row r="1890" ht="30" customHeight="1" spans="1:6">
      <c r="A1890" s="4" t="s">
        <v>3979</v>
      </c>
      <c r="B1890" s="5" t="s">
        <v>3980</v>
      </c>
      <c r="C1890" s="5" t="s">
        <v>3981</v>
      </c>
      <c r="D1890" s="5" t="s">
        <v>518</v>
      </c>
      <c r="E1890" s="5" t="s">
        <v>519</v>
      </c>
      <c r="F1890" t="e">
        <f>_xlfn.XLOOKUP(A1890,[1]邦达数据库!$A:$A,[1]邦达数据库!$C:$C)</f>
        <v>#N/A</v>
      </c>
    </row>
    <row r="1891" ht="30" customHeight="1" spans="1:6">
      <c r="A1891" s="2" t="s">
        <v>3982</v>
      </c>
      <c r="B1891" s="3" t="s">
        <v>3980</v>
      </c>
      <c r="C1891" s="3" t="s">
        <v>3981</v>
      </c>
      <c r="D1891" s="3" t="s">
        <v>518</v>
      </c>
      <c r="E1891" s="3" t="s">
        <v>519</v>
      </c>
      <c r="F1891" t="e">
        <f>_xlfn.XLOOKUP(A1891,[1]邦达数据库!$A:$A,[1]邦达数据库!$C:$C)</f>
        <v>#N/A</v>
      </c>
    </row>
    <row r="1892" ht="30" customHeight="1" spans="1:6">
      <c r="A1892" s="4" t="s">
        <v>3983</v>
      </c>
      <c r="B1892" s="5" t="s">
        <v>3980</v>
      </c>
      <c r="C1892" s="5" t="s">
        <v>3981</v>
      </c>
      <c r="D1892" s="5" t="s">
        <v>518</v>
      </c>
      <c r="E1892" s="5" t="s">
        <v>519</v>
      </c>
      <c r="F1892" t="e">
        <f>_xlfn.XLOOKUP(A1892,[1]邦达数据库!$A:$A,[1]邦达数据库!$C:$C)</f>
        <v>#N/A</v>
      </c>
    </row>
    <row r="1893" ht="30" customHeight="1" spans="1:6">
      <c r="A1893" s="2" t="s">
        <v>3984</v>
      </c>
      <c r="B1893" s="3" t="s">
        <v>3980</v>
      </c>
      <c r="C1893" s="3" t="s">
        <v>63</v>
      </c>
      <c r="D1893" s="3" t="s">
        <v>173</v>
      </c>
      <c r="E1893" s="3" t="s">
        <v>174</v>
      </c>
      <c r="F1893" t="e">
        <f>_xlfn.XLOOKUP(A1893,[1]邦达数据库!$A:$A,[1]邦达数据库!$C:$C)</f>
        <v>#N/A</v>
      </c>
    </row>
    <row r="1894" ht="30" customHeight="1" spans="1:6">
      <c r="A1894" s="4" t="s">
        <v>3985</v>
      </c>
      <c r="B1894" s="5" t="s">
        <v>3980</v>
      </c>
      <c r="C1894" s="5" t="s">
        <v>63</v>
      </c>
      <c r="D1894" s="5" t="s">
        <v>3986</v>
      </c>
      <c r="E1894" s="5" t="s">
        <v>3987</v>
      </c>
      <c r="F1894" t="e">
        <f>_xlfn.XLOOKUP(A1894,[1]邦达数据库!$A:$A,[1]邦达数据库!$C:$C)</f>
        <v>#N/A</v>
      </c>
    </row>
    <row r="1895" ht="30" customHeight="1" spans="1:6">
      <c r="A1895" s="2" t="s">
        <v>3988</v>
      </c>
      <c r="B1895" s="3" t="s">
        <v>3980</v>
      </c>
      <c r="C1895" s="3" t="s">
        <v>63</v>
      </c>
      <c r="D1895" s="3" t="s">
        <v>173</v>
      </c>
      <c r="E1895" s="3" t="s">
        <v>174</v>
      </c>
      <c r="F1895" t="e">
        <f>_xlfn.XLOOKUP(A1895,[1]邦达数据库!$A:$A,[1]邦达数据库!$C:$C)</f>
        <v>#N/A</v>
      </c>
    </row>
    <row r="1896" ht="30" customHeight="1" spans="1:6">
      <c r="A1896" s="4" t="s">
        <v>3989</v>
      </c>
      <c r="B1896" s="5" t="s">
        <v>3990</v>
      </c>
      <c r="C1896" s="5" t="s">
        <v>242</v>
      </c>
      <c r="D1896" s="5" t="s">
        <v>276</v>
      </c>
      <c r="E1896" s="5" t="s">
        <v>277</v>
      </c>
      <c r="F1896" t="e">
        <f>_xlfn.XLOOKUP(A1896,[1]邦达数据库!$A:$A,[1]邦达数据库!$C:$C)</f>
        <v>#N/A</v>
      </c>
    </row>
    <row r="1897" ht="30" customHeight="1" spans="1:6">
      <c r="A1897" s="2" t="s">
        <v>3991</v>
      </c>
      <c r="B1897" s="3" t="s">
        <v>3992</v>
      </c>
      <c r="C1897" s="3" t="s">
        <v>3993</v>
      </c>
      <c r="D1897" s="3" t="s">
        <v>2517</v>
      </c>
      <c r="E1897" s="3" t="s">
        <v>2518</v>
      </c>
      <c r="F1897" t="e">
        <f>_xlfn.XLOOKUP(A1897,[1]邦达数据库!$A:$A,[1]邦达数据库!$C:$C)</f>
        <v>#N/A</v>
      </c>
    </row>
    <row r="1898" ht="30" customHeight="1" spans="1:6">
      <c r="A1898" s="2" t="s">
        <v>3994</v>
      </c>
      <c r="B1898" s="3" t="s">
        <v>3995</v>
      </c>
      <c r="C1898" s="3" t="s">
        <v>42</v>
      </c>
      <c r="D1898" s="3" t="s">
        <v>3996</v>
      </c>
      <c r="E1898" s="3" t="s">
        <v>3997</v>
      </c>
      <c r="F1898" t="e">
        <f>_xlfn.XLOOKUP(A1898,[1]邦达数据库!$A:$A,[1]邦达数据库!$C:$C)</f>
        <v>#N/A</v>
      </c>
    </row>
    <row r="1899" ht="30" customHeight="1" spans="1:6">
      <c r="A1899" s="4" t="s">
        <v>3998</v>
      </c>
      <c r="B1899" s="5" t="s">
        <v>3995</v>
      </c>
      <c r="C1899" s="5" t="s">
        <v>42</v>
      </c>
      <c r="D1899" s="5" t="s">
        <v>2092</v>
      </c>
      <c r="E1899" s="5" t="s">
        <v>2093</v>
      </c>
      <c r="F1899" t="e">
        <f>_xlfn.XLOOKUP(A1899,[1]邦达数据库!$A:$A,[1]邦达数据库!$C:$C)</f>
        <v>#N/A</v>
      </c>
    </row>
    <row r="1900" ht="30" customHeight="1" spans="1:6">
      <c r="A1900" s="2" t="s">
        <v>3999</v>
      </c>
      <c r="B1900" s="3" t="s">
        <v>3995</v>
      </c>
      <c r="C1900" s="3" t="s">
        <v>42</v>
      </c>
      <c r="D1900" s="3" t="s">
        <v>4000</v>
      </c>
      <c r="E1900" s="3" t="s">
        <v>4001</v>
      </c>
      <c r="F1900" t="e">
        <f>_xlfn.XLOOKUP(A1900,[1]邦达数据库!$A:$A,[1]邦达数据库!$C:$C)</f>
        <v>#N/A</v>
      </c>
    </row>
    <row r="1901" ht="30" customHeight="1" spans="1:6">
      <c r="A1901" s="4" t="s">
        <v>4002</v>
      </c>
      <c r="B1901" s="5" t="s">
        <v>3995</v>
      </c>
      <c r="C1901" s="5" t="s">
        <v>42</v>
      </c>
      <c r="D1901" s="5" t="s">
        <v>3151</v>
      </c>
      <c r="E1901" s="5" t="s">
        <v>3152</v>
      </c>
      <c r="F1901" t="e">
        <f>_xlfn.XLOOKUP(A1901,[1]邦达数据库!$A:$A,[1]邦达数据库!$C:$C)</f>
        <v>#N/A</v>
      </c>
    </row>
    <row r="1902" ht="30" customHeight="1" spans="1:6">
      <c r="A1902" s="2" t="s">
        <v>4003</v>
      </c>
      <c r="B1902" s="3" t="s">
        <v>3995</v>
      </c>
      <c r="C1902" s="3" t="s">
        <v>42</v>
      </c>
      <c r="D1902" s="3" t="s">
        <v>2092</v>
      </c>
      <c r="E1902" s="3" t="s">
        <v>2093</v>
      </c>
      <c r="F1902" t="e">
        <f>_xlfn.XLOOKUP(A1902,[1]邦达数据库!$A:$A,[1]邦达数据库!$C:$C)</f>
        <v>#N/A</v>
      </c>
    </row>
    <row r="1903" ht="30" customHeight="1" spans="1:6">
      <c r="A1903" s="4" t="s">
        <v>4004</v>
      </c>
      <c r="B1903" s="5" t="s">
        <v>4005</v>
      </c>
      <c r="C1903" s="5" t="s">
        <v>4006</v>
      </c>
      <c r="D1903" s="5" t="s">
        <v>38</v>
      </c>
      <c r="E1903" s="5" t="s">
        <v>39</v>
      </c>
      <c r="F1903" t="e">
        <f>_xlfn.XLOOKUP(A1903,[1]邦达数据库!$A:$A,[1]邦达数据库!$C:$C)</f>
        <v>#N/A</v>
      </c>
    </row>
    <row r="1904" ht="30" customHeight="1" spans="1:6">
      <c r="A1904" s="2" t="s">
        <v>4007</v>
      </c>
      <c r="B1904" s="3" t="s">
        <v>4008</v>
      </c>
      <c r="C1904" s="3" t="s">
        <v>2236</v>
      </c>
      <c r="D1904" s="3" t="s">
        <v>18</v>
      </c>
      <c r="E1904" s="3" t="s">
        <v>19</v>
      </c>
      <c r="F1904" t="e">
        <f>_xlfn.XLOOKUP(A1904,[1]邦达数据库!$A:$A,[1]邦达数据库!$C:$C)</f>
        <v>#N/A</v>
      </c>
    </row>
    <row r="1905" ht="30" customHeight="1" spans="1:6">
      <c r="A1905" s="4" t="s">
        <v>4009</v>
      </c>
      <c r="B1905" s="5" t="s">
        <v>4008</v>
      </c>
      <c r="C1905" s="5" t="s">
        <v>2236</v>
      </c>
      <c r="D1905" s="5" t="s">
        <v>18</v>
      </c>
      <c r="E1905" s="5" t="s">
        <v>19</v>
      </c>
      <c r="F1905" t="e">
        <f>_xlfn.XLOOKUP(A1905,[1]邦达数据库!$A:$A,[1]邦达数据库!$C:$C)</f>
        <v>#N/A</v>
      </c>
    </row>
    <row r="1906" ht="30" customHeight="1" spans="1:6">
      <c r="A1906" s="2" t="s">
        <v>4010</v>
      </c>
      <c r="B1906" s="3" t="s">
        <v>4011</v>
      </c>
      <c r="C1906" s="3" t="s">
        <v>1175</v>
      </c>
      <c r="D1906" s="3" t="s">
        <v>4012</v>
      </c>
      <c r="E1906" s="3" t="s">
        <v>4013</v>
      </c>
      <c r="F1906" t="e">
        <f>_xlfn.XLOOKUP(A1906,[1]邦达数据库!$A:$A,[1]邦达数据库!$C:$C)</f>
        <v>#N/A</v>
      </c>
    </row>
    <row r="1907" ht="30" customHeight="1" spans="1:6">
      <c r="A1907" s="4" t="s">
        <v>4014</v>
      </c>
      <c r="B1907" s="5" t="s">
        <v>4011</v>
      </c>
      <c r="C1907" s="5" t="s">
        <v>1175</v>
      </c>
      <c r="D1907" s="5" t="s">
        <v>742</v>
      </c>
      <c r="E1907" s="5" t="s">
        <v>743</v>
      </c>
      <c r="F1907" t="e">
        <f>_xlfn.XLOOKUP(A1907,[1]邦达数据库!$A:$A,[1]邦达数据库!$C:$C)</f>
        <v>#N/A</v>
      </c>
    </row>
    <row r="1908" ht="30" customHeight="1" spans="1:6">
      <c r="A1908" s="2" t="s">
        <v>4015</v>
      </c>
      <c r="B1908" s="3" t="s">
        <v>102</v>
      </c>
      <c r="C1908" s="3" t="s">
        <v>4016</v>
      </c>
      <c r="D1908" s="3" t="s">
        <v>1110</v>
      </c>
      <c r="E1908" s="3" t="s">
        <v>1111</v>
      </c>
      <c r="F1908" t="e">
        <f>_xlfn.XLOOKUP(A1908,[1]邦达数据库!$A:$A,[1]邦达数据库!$C:$C)</f>
        <v>#N/A</v>
      </c>
    </row>
    <row r="1909" ht="30" customHeight="1" spans="1:6">
      <c r="A1909" s="4" t="s">
        <v>4017</v>
      </c>
      <c r="B1909" s="5" t="s">
        <v>1473</v>
      </c>
      <c r="C1909" s="5" t="s">
        <v>1477</v>
      </c>
      <c r="D1909" s="5" t="s">
        <v>439</v>
      </c>
      <c r="E1909" s="5" t="s">
        <v>440</v>
      </c>
      <c r="F1909" t="e">
        <f>_xlfn.XLOOKUP(A1909,[1]邦达数据库!$A:$A,[1]邦达数据库!$C:$C)</f>
        <v>#N/A</v>
      </c>
    </row>
    <row r="1910" ht="30" customHeight="1" spans="1:6">
      <c r="A1910" s="2" t="s">
        <v>4018</v>
      </c>
      <c r="B1910" s="3" t="s">
        <v>4019</v>
      </c>
      <c r="C1910" s="3" t="s">
        <v>4020</v>
      </c>
      <c r="D1910" s="3" t="s">
        <v>38</v>
      </c>
      <c r="E1910" s="3" t="s">
        <v>39</v>
      </c>
      <c r="F1910" t="e">
        <f>_xlfn.XLOOKUP(A1910,[1]邦达数据库!$A:$A,[1]邦达数据库!$C:$C)</f>
        <v>#N/A</v>
      </c>
    </row>
    <row r="1911" ht="30" customHeight="1" spans="1:6">
      <c r="A1911" s="4" t="s">
        <v>4021</v>
      </c>
      <c r="B1911" s="5" t="s">
        <v>4008</v>
      </c>
      <c r="C1911" s="5" t="s">
        <v>2236</v>
      </c>
      <c r="D1911" s="5" t="s">
        <v>404</v>
      </c>
      <c r="E1911" s="5" t="s">
        <v>405</v>
      </c>
      <c r="F1911" t="e">
        <f>_xlfn.XLOOKUP(A1911,[1]邦达数据库!$A:$A,[1]邦达数据库!$C:$C)</f>
        <v>#N/A</v>
      </c>
    </row>
    <row r="1912" ht="30" customHeight="1" spans="1:6">
      <c r="A1912" s="2" t="s">
        <v>4022</v>
      </c>
      <c r="B1912" s="3" t="s">
        <v>4008</v>
      </c>
      <c r="C1912" s="3" t="s">
        <v>2236</v>
      </c>
      <c r="D1912" s="3" t="s">
        <v>1655</v>
      </c>
      <c r="E1912" s="3" t="s">
        <v>1656</v>
      </c>
      <c r="F1912" t="e">
        <f>_xlfn.XLOOKUP(A1912,[1]邦达数据库!$A:$A,[1]邦达数据库!$C:$C)</f>
        <v>#N/A</v>
      </c>
    </row>
    <row r="1913" ht="30" customHeight="1" spans="1:6">
      <c r="A1913" s="4" t="s">
        <v>4023</v>
      </c>
      <c r="B1913" s="5" t="s">
        <v>4008</v>
      </c>
      <c r="C1913" s="5" t="s">
        <v>2236</v>
      </c>
      <c r="D1913" s="5" t="s">
        <v>4024</v>
      </c>
      <c r="E1913" s="5" t="s">
        <v>4025</v>
      </c>
      <c r="F1913" t="e">
        <f>_xlfn.XLOOKUP(A1913,[1]邦达数据库!$A:$A,[1]邦达数据库!$C:$C)</f>
        <v>#N/A</v>
      </c>
    </row>
    <row r="1914" ht="30" customHeight="1" spans="1:6">
      <c r="A1914" s="2" t="s">
        <v>4026</v>
      </c>
      <c r="B1914" s="3" t="s">
        <v>4008</v>
      </c>
      <c r="C1914" s="3" t="s">
        <v>2236</v>
      </c>
      <c r="D1914" s="3" t="s">
        <v>404</v>
      </c>
      <c r="E1914" s="3" t="s">
        <v>405</v>
      </c>
      <c r="F1914" t="e">
        <f>_xlfn.XLOOKUP(A1914,[1]邦达数据库!$A:$A,[1]邦达数据库!$C:$C)</f>
        <v>#N/A</v>
      </c>
    </row>
    <row r="1915" ht="30" customHeight="1" spans="1:6">
      <c r="A1915" s="4" t="s">
        <v>4027</v>
      </c>
      <c r="B1915" s="5" t="s">
        <v>4008</v>
      </c>
      <c r="C1915" s="5" t="s">
        <v>2236</v>
      </c>
      <c r="D1915" s="5" t="s">
        <v>404</v>
      </c>
      <c r="E1915" s="5" t="s">
        <v>405</v>
      </c>
      <c r="F1915" t="e">
        <f>_xlfn.XLOOKUP(A1915,[1]邦达数据库!$A:$A,[1]邦达数据库!$C:$C)</f>
        <v>#N/A</v>
      </c>
    </row>
    <row r="1916" ht="30" customHeight="1" spans="1:6">
      <c r="A1916" s="2" t="s">
        <v>4028</v>
      </c>
      <c r="B1916" s="3" t="s">
        <v>4008</v>
      </c>
      <c r="C1916" s="3" t="s">
        <v>2236</v>
      </c>
      <c r="D1916" s="3" t="s">
        <v>404</v>
      </c>
      <c r="E1916" s="3" t="s">
        <v>405</v>
      </c>
      <c r="F1916" t="e">
        <f>_xlfn.XLOOKUP(A1916,[1]邦达数据库!$A:$A,[1]邦达数据库!$C:$C)</f>
        <v>#N/A</v>
      </c>
    </row>
    <row r="1917" ht="30" customHeight="1" spans="1:6">
      <c r="A1917" s="4" t="s">
        <v>4029</v>
      </c>
      <c r="B1917" s="5" t="s">
        <v>4030</v>
      </c>
      <c r="C1917" s="5" t="s">
        <v>3813</v>
      </c>
      <c r="D1917" s="5" t="s">
        <v>1474</v>
      </c>
      <c r="E1917" s="5" t="s">
        <v>1475</v>
      </c>
      <c r="F1917" t="e">
        <f>_xlfn.XLOOKUP(A1917,[1]邦达数据库!$A:$A,[1]邦达数据库!$C:$C)</f>
        <v>#N/A</v>
      </c>
    </row>
    <row r="1918" ht="30" customHeight="1" spans="1:6">
      <c r="A1918" s="2" t="s">
        <v>4031</v>
      </c>
      <c r="B1918" s="3" t="s">
        <v>4032</v>
      </c>
      <c r="C1918" s="3" t="s">
        <v>1175</v>
      </c>
      <c r="D1918" s="3" t="s">
        <v>117</v>
      </c>
      <c r="E1918" s="3" t="s">
        <v>118</v>
      </c>
      <c r="F1918" t="e">
        <f>_xlfn.XLOOKUP(A1918,[1]邦达数据库!$A:$A,[1]邦达数据库!$C:$C)</f>
        <v>#N/A</v>
      </c>
    </row>
    <row r="1919" ht="30" customHeight="1" spans="1:6">
      <c r="A1919" s="4" t="s">
        <v>4033</v>
      </c>
      <c r="B1919" s="5" t="s">
        <v>4032</v>
      </c>
      <c r="C1919" s="5" t="s">
        <v>1175</v>
      </c>
      <c r="D1919" s="5" t="s">
        <v>117</v>
      </c>
      <c r="E1919" s="5" t="s">
        <v>118</v>
      </c>
      <c r="F1919" t="e">
        <f>_xlfn.XLOOKUP(A1919,[1]邦达数据库!$A:$A,[1]邦达数据库!$C:$C)</f>
        <v>#N/A</v>
      </c>
    </row>
    <row r="1920" ht="30" customHeight="1" spans="1:6">
      <c r="A1920" s="2" t="s">
        <v>4034</v>
      </c>
      <c r="B1920" s="3" t="s">
        <v>4035</v>
      </c>
      <c r="C1920" s="3" t="s">
        <v>1175</v>
      </c>
      <c r="D1920" s="3" t="s">
        <v>2928</v>
      </c>
      <c r="E1920" s="3" t="s">
        <v>2929</v>
      </c>
      <c r="F1920" t="e">
        <f>_xlfn.XLOOKUP(A1920,[1]邦达数据库!$A:$A,[1]邦达数据库!$C:$C)</f>
        <v>#N/A</v>
      </c>
    </row>
    <row r="1921" ht="30" customHeight="1" spans="1:6">
      <c r="A1921" s="4" t="s">
        <v>4036</v>
      </c>
      <c r="B1921" s="5" t="s">
        <v>4035</v>
      </c>
      <c r="C1921" s="5" t="s">
        <v>1175</v>
      </c>
      <c r="D1921" s="5" t="s">
        <v>2928</v>
      </c>
      <c r="E1921" s="5" t="s">
        <v>2929</v>
      </c>
      <c r="F1921" t="e">
        <f>_xlfn.XLOOKUP(A1921,[1]邦达数据库!$A:$A,[1]邦达数据库!$C:$C)</f>
        <v>#N/A</v>
      </c>
    </row>
    <row r="1922" ht="30" customHeight="1" spans="1:6">
      <c r="A1922" s="2" t="s">
        <v>4037</v>
      </c>
      <c r="B1922" s="3" t="s">
        <v>4038</v>
      </c>
      <c r="C1922" s="3" t="s">
        <v>4039</v>
      </c>
      <c r="D1922" s="3" t="s">
        <v>963</v>
      </c>
      <c r="E1922" s="3" t="s">
        <v>964</v>
      </c>
      <c r="F1922" t="e">
        <f>_xlfn.XLOOKUP(A1922,[1]邦达数据库!$A:$A,[1]邦达数据库!$C:$C)</f>
        <v>#N/A</v>
      </c>
    </row>
    <row r="1923" ht="30" customHeight="1" spans="1:6">
      <c r="A1923" s="4" t="s">
        <v>4040</v>
      </c>
      <c r="B1923" s="5" t="s">
        <v>4041</v>
      </c>
      <c r="C1923" s="5" t="s">
        <v>962</v>
      </c>
      <c r="D1923" s="5" t="s">
        <v>1549</v>
      </c>
      <c r="E1923" s="5" t="s">
        <v>1550</v>
      </c>
      <c r="F1923" t="e">
        <f>_xlfn.XLOOKUP(A1923,[1]邦达数据库!$A:$A,[1]邦达数据库!$C:$C)</f>
        <v>#N/A</v>
      </c>
    </row>
    <row r="1924" ht="30" customHeight="1" spans="1:6">
      <c r="A1924" s="2" t="s">
        <v>4042</v>
      </c>
      <c r="B1924" s="3" t="s">
        <v>4041</v>
      </c>
      <c r="C1924" s="3" t="s">
        <v>962</v>
      </c>
      <c r="D1924" s="3" t="s">
        <v>1549</v>
      </c>
      <c r="E1924" s="3" t="s">
        <v>1550</v>
      </c>
      <c r="F1924" t="e">
        <f>_xlfn.XLOOKUP(A1924,[1]邦达数据库!$A:$A,[1]邦达数据库!$C:$C)</f>
        <v>#N/A</v>
      </c>
    </row>
    <row r="1925" ht="30" customHeight="1" spans="1:6">
      <c r="A1925" s="4" t="s">
        <v>4043</v>
      </c>
      <c r="B1925" s="5" t="s">
        <v>4044</v>
      </c>
      <c r="C1925" s="5" t="s">
        <v>962</v>
      </c>
      <c r="D1925" s="5" t="s">
        <v>1549</v>
      </c>
      <c r="E1925" s="5" t="s">
        <v>1550</v>
      </c>
      <c r="F1925" t="e">
        <f>_xlfn.XLOOKUP(A1925,[1]邦达数据库!$A:$A,[1]邦达数据库!$C:$C)</f>
        <v>#N/A</v>
      </c>
    </row>
    <row r="1926" ht="30" customHeight="1" spans="1:6">
      <c r="A1926" s="2" t="s">
        <v>4045</v>
      </c>
      <c r="B1926" s="3" t="s">
        <v>4046</v>
      </c>
      <c r="C1926" s="3" t="s">
        <v>962</v>
      </c>
      <c r="D1926" s="3" t="s">
        <v>963</v>
      </c>
      <c r="E1926" s="3" t="s">
        <v>964</v>
      </c>
      <c r="F1926" t="e">
        <f>_xlfn.XLOOKUP(A1926,[1]邦达数据库!$A:$A,[1]邦达数据库!$C:$C)</f>
        <v>#N/A</v>
      </c>
    </row>
    <row r="1927" ht="30" customHeight="1" spans="1:6">
      <c r="A1927" s="4" t="s">
        <v>4047</v>
      </c>
      <c r="B1927" s="5" t="s">
        <v>4046</v>
      </c>
      <c r="C1927" s="5" t="s">
        <v>962</v>
      </c>
      <c r="D1927" s="5" t="s">
        <v>963</v>
      </c>
      <c r="E1927" s="5" t="s">
        <v>964</v>
      </c>
      <c r="F1927" t="e">
        <f>_xlfn.XLOOKUP(A1927,[1]邦达数据库!$A:$A,[1]邦达数据库!$C:$C)</f>
        <v>#N/A</v>
      </c>
    </row>
    <row r="1928" ht="30" customHeight="1" spans="1:6">
      <c r="A1928" s="2" t="s">
        <v>4048</v>
      </c>
      <c r="B1928" s="3" t="s">
        <v>4046</v>
      </c>
      <c r="C1928" s="3" t="s">
        <v>962</v>
      </c>
      <c r="D1928" s="3" t="s">
        <v>963</v>
      </c>
      <c r="E1928" s="3" t="s">
        <v>964</v>
      </c>
      <c r="F1928" t="e">
        <f>_xlfn.XLOOKUP(A1928,[1]邦达数据库!$A:$A,[1]邦达数据库!$C:$C)</f>
        <v>#N/A</v>
      </c>
    </row>
    <row r="1929" ht="30" customHeight="1" spans="1:6">
      <c r="A1929" s="4" t="s">
        <v>4049</v>
      </c>
      <c r="B1929" s="5" t="s">
        <v>4046</v>
      </c>
      <c r="C1929" s="5" t="s">
        <v>962</v>
      </c>
      <c r="D1929" s="5" t="s">
        <v>963</v>
      </c>
      <c r="E1929" s="5" t="s">
        <v>964</v>
      </c>
      <c r="F1929" t="e">
        <f>_xlfn.XLOOKUP(A1929,[1]邦达数据库!$A:$A,[1]邦达数据库!$C:$C)</f>
        <v>#N/A</v>
      </c>
    </row>
    <row r="1930" ht="30" customHeight="1" spans="1:6">
      <c r="A1930" s="2" t="s">
        <v>4050</v>
      </c>
      <c r="B1930" s="3" t="s">
        <v>4046</v>
      </c>
      <c r="C1930" s="3" t="s">
        <v>962</v>
      </c>
      <c r="D1930" s="3" t="s">
        <v>963</v>
      </c>
      <c r="E1930" s="3" t="s">
        <v>964</v>
      </c>
      <c r="F1930" t="e">
        <f>_xlfn.XLOOKUP(A1930,[1]邦达数据库!$A:$A,[1]邦达数据库!$C:$C)</f>
        <v>#N/A</v>
      </c>
    </row>
    <row r="1931" ht="30" customHeight="1" spans="1:6">
      <c r="A1931" s="4" t="s">
        <v>4051</v>
      </c>
      <c r="B1931" s="5" t="s">
        <v>4046</v>
      </c>
      <c r="C1931" s="5" t="s">
        <v>962</v>
      </c>
      <c r="D1931" s="5" t="s">
        <v>963</v>
      </c>
      <c r="E1931" s="5" t="s">
        <v>964</v>
      </c>
      <c r="F1931" t="e">
        <f>_xlfn.XLOOKUP(A1931,[1]邦达数据库!$A:$A,[1]邦达数据库!$C:$C)</f>
        <v>#N/A</v>
      </c>
    </row>
    <row r="1932" ht="30" customHeight="1" spans="1:6">
      <c r="A1932" s="2" t="s">
        <v>4052</v>
      </c>
      <c r="B1932" s="3" t="s">
        <v>4053</v>
      </c>
      <c r="C1932" s="3" t="s">
        <v>716</v>
      </c>
      <c r="D1932" s="3" t="s">
        <v>1091</v>
      </c>
      <c r="E1932" s="3" t="s">
        <v>1092</v>
      </c>
      <c r="F1932" t="e">
        <f>_xlfn.XLOOKUP(A1932,[1]邦达数据库!$A:$A,[1]邦达数据库!$C:$C)</f>
        <v>#N/A</v>
      </c>
    </row>
    <row r="1933" ht="30" customHeight="1" spans="1:6">
      <c r="A1933" s="4" t="s">
        <v>4054</v>
      </c>
      <c r="B1933" s="5" t="s">
        <v>4053</v>
      </c>
      <c r="C1933" s="5" t="s">
        <v>275</v>
      </c>
      <c r="D1933" s="5" t="s">
        <v>4055</v>
      </c>
      <c r="E1933" s="5" t="s">
        <v>4056</v>
      </c>
      <c r="F1933" t="e">
        <f>_xlfn.XLOOKUP(A1933,[1]邦达数据库!$A:$A,[1]邦达数据库!$C:$C)</f>
        <v>#N/A</v>
      </c>
    </row>
    <row r="1934" ht="30" customHeight="1" spans="1:6">
      <c r="A1934" s="2" t="s">
        <v>4057</v>
      </c>
      <c r="B1934" s="3" t="s">
        <v>4058</v>
      </c>
      <c r="C1934" s="3" t="s">
        <v>1467</v>
      </c>
      <c r="D1934" s="3" t="s">
        <v>217</v>
      </c>
      <c r="E1934" s="3" t="s">
        <v>218</v>
      </c>
      <c r="F1934" t="e">
        <f>_xlfn.XLOOKUP(A1934,[1]邦达数据库!$A:$A,[1]邦达数据库!$C:$C)</f>
        <v>#N/A</v>
      </c>
    </row>
    <row r="1935" ht="30" customHeight="1" spans="1:6">
      <c r="A1935" s="4" t="s">
        <v>4059</v>
      </c>
      <c r="B1935" s="5" t="s">
        <v>4058</v>
      </c>
      <c r="C1935" s="5" t="s">
        <v>1467</v>
      </c>
      <c r="D1935" s="5" t="s">
        <v>4060</v>
      </c>
      <c r="E1935" s="5" t="s">
        <v>4061</v>
      </c>
      <c r="F1935" t="e">
        <f>_xlfn.XLOOKUP(A1935,[1]邦达数据库!$A:$A,[1]邦达数据库!$C:$C)</f>
        <v>#N/A</v>
      </c>
    </row>
    <row r="1936" ht="30" customHeight="1" spans="1:6">
      <c r="A1936" s="2" t="s">
        <v>4062</v>
      </c>
      <c r="B1936" s="3" t="s">
        <v>3227</v>
      </c>
      <c r="C1936" s="3" t="s">
        <v>88</v>
      </c>
      <c r="D1936" s="3" t="s">
        <v>1920</v>
      </c>
      <c r="E1936" s="3" t="s">
        <v>1921</v>
      </c>
      <c r="F1936" t="e">
        <f>_xlfn.XLOOKUP(A1936,[1]邦达数据库!$A:$A,[1]邦达数据库!$C:$C)</f>
        <v>#N/A</v>
      </c>
    </row>
    <row r="1937" ht="30" customHeight="1" spans="1:6">
      <c r="A1937" s="4" t="s">
        <v>4063</v>
      </c>
      <c r="B1937" s="5" t="s">
        <v>4064</v>
      </c>
      <c r="C1937" s="5" t="s">
        <v>4065</v>
      </c>
      <c r="D1937" s="5" t="s">
        <v>4066</v>
      </c>
      <c r="E1937" s="5" t="s">
        <v>4067</v>
      </c>
      <c r="F1937" t="e">
        <f>_xlfn.XLOOKUP(A1937,[1]邦达数据库!$A:$A,[1]邦达数据库!$C:$C)</f>
        <v>#N/A</v>
      </c>
    </row>
    <row r="1938" ht="30" customHeight="1" spans="1:6">
      <c r="A1938" s="2" t="s">
        <v>4068</v>
      </c>
      <c r="B1938" s="3" t="s">
        <v>4069</v>
      </c>
      <c r="C1938" s="3" t="s">
        <v>2043</v>
      </c>
      <c r="D1938" s="3" t="s">
        <v>38</v>
      </c>
      <c r="E1938" s="3" t="s">
        <v>39</v>
      </c>
      <c r="F1938" t="e">
        <f>_xlfn.XLOOKUP(A1938,[1]邦达数据库!$A:$A,[1]邦达数据库!$C:$C)</f>
        <v>#N/A</v>
      </c>
    </row>
    <row r="1939" ht="30" customHeight="1" spans="1:6">
      <c r="A1939" s="4" t="s">
        <v>4070</v>
      </c>
      <c r="B1939" s="5" t="s">
        <v>4069</v>
      </c>
      <c r="C1939" s="5" t="s">
        <v>2043</v>
      </c>
      <c r="D1939" s="5" t="s">
        <v>38</v>
      </c>
      <c r="E1939" s="5" t="s">
        <v>39</v>
      </c>
      <c r="F1939" t="e">
        <f>_xlfn.XLOOKUP(A1939,[1]邦达数据库!$A:$A,[1]邦达数据库!$C:$C)</f>
        <v>#N/A</v>
      </c>
    </row>
    <row r="1940" ht="30" customHeight="1" spans="1:6">
      <c r="A1940" s="2" t="s">
        <v>4071</v>
      </c>
      <c r="B1940" s="3" t="s">
        <v>4069</v>
      </c>
      <c r="C1940" s="3" t="s">
        <v>2043</v>
      </c>
      <c r="D1940" s="3" t="s">
        <v>38</v>
      </c>
      <c r="E1940" s="3" t="s">
        <v>39</v>
      </c>
      <c r="F1940" t="e">
        <f>_xlfn.XLOOKUP(A1940,[1]邦达数据库!$A:$A,[1]邦达数据库!$C:$C)</f>
        <v>#N/A</v>
      </c>
    </row>
    <row r="1941" ht="30" customHeight="1" spans="1:6">
      <c r="A1941" s="4" t="s">
        <v>4072</v>
      </c>
      <c r="B1941" s="5" t="s">
        <v>4073</v>
      </c>
      <c r="C1941" s="5" t="s">
        <v>4074</v>
      </c>
      <c r="D1941" s="5" t="s">
        <v>4075</v>
      </c>
      <c r="E1941" s="5" t="s">
        <v>4076</v>
      </c>
      <c r="F1941" t="e">
        <f>_xlfn.XLOOKUP(A1941,[1]邦达数据库!$A:$A,[1]邦达数据库!$C:$C)</f>
        <v>#N/A</v>
      </c>
    </row>
    <row r="1942" ht="30" customHeight="1" spans="1:6">
      <c r="A1942" s="2" t="s">
        <v>4077</v>
      </c>
      <c r="B1942" s="3" t="s">
        <v>4073</v>
      </c>
      <c r="C1942" s="3" t="s">
        <v>88</v>
      </c>
      <c r="D1942" s="3" t="s">
        <v>1975</v>
      </c>
      <c r="E1942" s="3" t="s">
        <v>1976</v>
      </c>
      <c r="F1942" t="e">
        <f>_xlfn.XLOOKUP(A1942,[1]邦达数据库!$A:$A,[1]邦达数据库!$C:$C)</f>
        <v>#N/A</v>
      </c>
    </row>
    <row r="1943" ht="30" customHeight="1" spans="1:6">
      <c r="A1943" s="4" t="s">
        <v>4078</v>
      </c>
      <c r="B1943" s="5" t="s">
        <v>4073</v>
      </c>
      <c r="C1943" s="5" t="s">
        <v>318</v>
      </c>
      <c r="D1943" s="5" t="s">
        <v>3135</v>
      </c>
      <c r="E1943" s="5" t="s">
        <v>3136</v>
      </c>
      <c r="F1943" t="e">
        <f>_xlfn.XLOOKUP(A1943,[1]邦达数据库!$A:$A,[1]邦达数据库!$C:$C)</f>
        <v>#N/A</v>
      </c>
    </row>
    <row r="1944" ht="30" customHeight="1" spans="1:6">
      <c r="A1944" s="2" t="s">
        <v>4079</v>
      </c>
      <c r="B1944" s="3" t="s">
        <v>3590</v>
      </c>
      <c r="C1944" s="3" t="s">
        <v>1045</v>
      </c>
      <c r="D1944" s="3" t="s">
        <v>1285</v>
      </c>
      <c r="E1944" s="3" t="s">
        <v>1286</v>
      </c>
      <c r="F1944" t="e">
        <f>_xlfn.XLOOKUP(A1944,[1]邦达数据库!$A:$A,[1]邦达数据库!$C:$C)</f>
        <v>#N/A</v>
      </c>
    </row>
    <row r="1945" ht="30" customHeight="1" spans="1:6">
      <c r="A1945" s="4" t="s">
        <v>4080</v>
      </c>
      <c r="B1945" s="5" t="s">
        <v>4081</v>
      </c>
      <c r="C1945" s="5" t="s">
        <v>1045</v>
      </c>
      <c r="D1945" s="5" t="s">
        <v>2464</v>
      </c>
      <c r="E1945" s="5" t="s">
        <v>2465</v>
      </c>
      <c r="F1945" t="e">
        <f>_xlfn.XLOOKUP(A1945,[1]邦达数据库!$A:$A,[1]邦达数据库!$C:$C)</f>
        <v>#N/A</v>
      </c>
    </row>
    <row r="1946" ht="30" customHeight="1" spans="1:6">
      <c r="A1946" s="2" t="s">
        <v>4082</v>
      </c>
      <c r="B1946" s="3" t="s">
        <v>4083</v>
      </c>
      <c r="C1946" s="3" t="s">
        <v>4084</v>
      </c>
      <c r="D1946" s="3" t="s">
        <v>47</v>
      </c>
      <c r="E1946" s="3" t="s">
        <v>48</v>
      </c>
      <c r="F1946" t="e">
        <f>_xlfn.XLOOKUP(A1946,[1]邦达数据库!$A:$A,[1]邦达数据库!$C:$C)</f>
        <v>#N/A</v>
      </c>
    </row>
    <row r="1947" ht="30" customHeight="1" spans="1:6">
      <c r="A1947" s="4" t="s">
        <v>4085</v>
      </c>
      <c r="B1947" s="5" t="s">
        <v>4086</v>
      </c>
      <c r="C1947" s="5" t="s">
        <v>4087</v>
      </c>
      <c r="D1947" s="5" t="s">
        <v>4088</v>
      </c>
      <c r="E1947" s="5" t="s">
        <v>4089</v>
      </c>
      <c r="F1947" t="e">
        <f>_xlfn.XLOOKUP(A1947,[1]邦达数据库!$A:$A,[1]邦达数据库!$C:$C)</f>
        <v>#N/A</v>
      </c>
    </row>
    <row r="1948" ht="30" customHeight="1" spans="1:6">
      <c r="A1948" s="2" t="s">
        <v>4090</v>
      </c>
      <c r="B1948" s="3" t="s">
        <v>4086</v>
      </c>
      <c r="C1948" s="3" t="s">
        <v>4087</v>
      </c>
      <c r="D1948" s="3" t="s">
        <v>832</v>
      </c>
      <c r="E1948" s="3" t="s">
        <v>833</v>
      </c>
      <c r="F1948" t="e">
        <f>_xlfn.XLOOKUP(A1948,[1]邦达数据库!$A:$A,[1]邦达数据库!$C:$C)</f>
        <v>#N/A</v>
      </c>
    </row>
    <row r="1949" ht="30" customHeight="1" spans="1:6">
      <c r="A1949" s="4" t="s">
        <v>4091</v>
      </c>
      <c r="B1949" s="5" t="s">
        <v>4092</v>
      </c>
      <c r="C1949" s="5" t="s">
        <v>4093</v>
      </c>
      <c r="D1949" s="5" t="s">
        <v>4094</v>
      </c>
      <c r="E1949" s="5" t="s">
        <v>4095</v>
      </c>
      <c r="F1949" t="e">
        <f>_xlfn.XLOOKUP(A1949,[1]邦达数据库!$A:$A,[1]邦达数据库!$C:$C)</f>
        <v>#N/A</v>
      </c>
    </row>
    <row r="1950" ht="30" customHeight="1" spans="1:6">
      <c r="A1950" s="2" t="s">
        <v>4096</v>
      </c>
      <c r="B1950" s="3" t="s">
        <v>4097</v>
      </c>
      <c r="C1950" s="3" t="s">
        <v>2125</v>
      </c>
      <c r="D1950" s="3" t="s">
        <v>1038</v>
      </c>
      <c r="E1950" s="3" t="s">
        <v>1039</v>
      </c>
      <c r="F1950" t="e">
        <f>_xlfn.XLOOKUP(A1950,[1]邦达数据库!$A:$A,[1]邦达数据库!$C:$C)</f>
        <v>#N/A</v>
      </c>
    </row>
    <row r="1951" ht="30" customHeight="1" spans="1:6">
      <c r="A1951" s="4" t="s">
        <v>4098</v>
      </c>
      <c r="B1951" s="5" t="s">
        <v>4097</v>
      </c>
      <c r="C1951" s="5" t="s">
        <v>2125</v>
      </c>
      <c r="D1951" s="5" t="s">
        <v>1856</v>
      </c>
      <c r="E1951" s="5" t="s">
        <v>1857</v>
      </c>
      <c r="F1951" t="e">
        <f>_xlfn.XLOOKUP(A1951,[1]邦达数据库!$A:$A,[1]邦达数据库!$C:$C)</f>
        <v>#N/A</v>
      </c>
    </row>
    <row r="1952" ht="30" customHeight="1" spans="1:6">
      <c r="A1952" s="2" t="s">
        <v>4099</v>
      </c>
      <c r="B1952" s="3" t="s">
        <v>4100</v>
      </c>
      <c r="C1952" s="3" t="s">
        <v>270</v>
      </c>
      <c r="D1952" s="3" t="s">
        <v>568</v>
      </c>
      <c r="E1952" s="3" t="s">
        <v>569</v>
      </c>
      <c r="F1952" t="e">
        <f>_xlfn.XLOOKUP(A1952,[1]邦达数据库!$A:$A,[1]邦达数据库!$C:$C)</f>
        <v>#N/A</v>
      </c>
    </row>
    <row r="1953" ht="30" customHeight="1" spans="1:6">
      <c r="A1953" s="4" t="s">
        <v>4101</v>
      </c>
      <c r="B1953" s="5" t="s">
        <v>4102</v>
      </c>
      <c r="C1953" s="5" t="s">
        <v>2236</v>
      </c>
      <c r="D1953" s="5" t="s">
        <v>4103</v>
      </c>
      <c r="E1953" s="5" t="s">
        <v>4104</v>
      </c>
      <c r="F1953" t="e">
        <f>_xlfn.XLOOKUP(A1953,[1]邦达数据库!$A:$A,[1]邦达数据库!$C:$C)</f>
        <v>#N/A</v>
      </c>
    </row>
    <row r="1954" ht="30" customHeight="1" spans="1:6">
      <c r="A1954" s="2" t="s">
        <v>4105</v>
      </c>
      <c r="B1954" s="3" t="s">
        <v>4102</v>
      </c>
      <c r="C1954" s="3" t="s">
        <v>2236</v>
      </c>
      <c r="D1954" s="3" t="s">
        <v>1423</v>
      </c>
      <c r="E1954" s="3" t="s">
        <v>1424</v>
      </c>
      <c r="F1954" t="e">
        <f>_xlfn.XLOOKUP(A1954,[1]邦达数据库!$A:$A,[1]邦达数据库!$C:$C)</f>
        <v>#N/A</v>
      </c>
    </row>
    <row r="1955" ht="30" customHeight="1" spans="1:6">
      <c r="A1955" s="4" t="s">
        <v>4106</v>
      </c>
      <c r="B1955" s="5" t="s">
        <v>4102</v>
      </c>
      <c r="C1955" s="5" t="s">
        <v>318</v>
      </c>
      <c r="D1955" s="5" t="s">
        <v>250</v>
      </c>
      <c r="E1955" s="5" t="s">
        <v>251</v>
      </c>
      <c r="F1955" t="e">
        <f>_xlfn.XLOOKUP(A1955,[1]邦达数据库!$A:$A,[1]邦达数据库!$C:$C)</f>
        <v>#N/A</v>
      </c>
    </row>
    <row r="1956" ht="30" customHeight="1" spans="1:6">
      <c r="A1956" s="2" t="s">
        <v>4107</v>
      </c>
      <c r="B1956" s="3" t="s">
        <v>4108</v>
      </c>
      <c r="C1956" s="3" t="s">
        <v>4109</v>
      </c>
      <c r="D1956" s="3" t="s">
        <v>2250</v>
      </c>
      <c r="E1956" s="3" t="s">
        <v>2251</v>
      </c>
      <c r="F1956" t="e">
        <f>_xlfn.XLOOKUP(A1956,[1]邦达数据库!$A:$A,[1]邦达数据库!$C:$C)</f>
        <v>#N/A</v>
      </c>
    </row>
    <row r="1957" ht="30" customHeight="1" spans="1:6">
      <c r="A1957" s="4" t="s">
        <v>4110</v>
      </c>
      <c r="B1957" s="5" t="s">
        <v>2776</v>
      </c>
      <c r="C1957" s="5" t="s">
        <v>874</v>
      </c>
      <c r="D1957" s="5" t="s">
        <v>170</v>
      </c>
      <c r="E1957" s="5" t="s">
        <v>171</v>
      </c>
      <c r="F1957" t="e">
        <f>_xlfn.XLOOKUP(A1957,[1]邦达数据库!$A:$A,[1]邦达数据库!$C:$C)</f>
        <v>#N/A</v>
      </c>
    </row>
    <row r="1958" ht="30" customHeight="1" spans="1:6">
      <c r="A1958" s="2" t="s">
        <v>4111</v>
      </c>
      <c r="B1958" s="3" t="s">
        <v>4112</v>
      </c>
      <c r="C1958" s="3" t="s">
        <v>2054</v>
      </c>
      <c r="D1958" s="3" t="s">
        <v>79</v>
      </c>
      <c r="E1958" s="3" t="s">
        <v>80</v>
      </c>
      <c r="F1958" t="e">
        <f>_xlfn.XLOOKUP(A1958,[1]邦达数据库!$A:$A,[1]邦达数据库!$C:$C)</f>
        <v>#N/A</v>
      </c>
    </row>
    <row r="1959" ht="30" customHeight="1" spans="1:6">
      <c r="A1959" s="4" t="s">
        <v>4113</v>
      </c>
      <c r="B1959" s="5" t="s">
        <v>4114</v>
      </c>
      <c r="C1959" s="5" t="s">
        <v>4115</v>
      </c>
      <c r="D1959" s="5" t="s">
        <v>742</v>
      </c>
      <c r="E1959" s="5" t="s">
        <v>743</v>
      </c>
      <c r="F1959" t="e">
        <f>_xlfn.XLOOKUP(A1959,[1]邦达数据库!$A:$A,[1]邦达数据库!$C:$C)</f>
        <v>#N/A</v>
      </c>
    </row>
    <row r="1960" ht="30" customHeight="1" spans="1:6">
      <c r="A1960" s="2" t="s">
        <v>4116</v>
      </c>
      <c r="B1960" s="3" t="s">
        <v>4112</v>
      </c>
      <c r="C1960" s="3" t="s">
        <v>2054</v>
      </c>
      <c r="D1960" s="3" t="s">
        <v>79</v>
      </c>
      <c r="E1960" s="3" t="s">
        <v>80</v>
      </c>
      <c r="F1960" t="e">
        <f>_xlfn.XLOOKUP(A1960,[1]邦达数据库!$A:$A,[1]邦达数据库!$C:$C)</f>
        <v>#N/A</v>
      </c>
    </row>
    <row r="1961" ht="30" customHeight="1" spans="1:6">
      <c r="A1961" s="4" t="s">
        <v>4117</v>
      </c>
      <c r="B1961" s="5" t="s">
        <v>4118</v>
      </c>
      <c r="C1961" s="5" t="s">
        <v>4115</v>
      </c>
      <c r="D1961" s="5" t="s">
        <v>417</v>
      </c>
      <c r="E1961" s="5" t="s">
        <v>418</v>
      </c>
      <c r="F1961" t="e">
        <f>_xlfn.XLOOKUP(A1961,[1]邦达数据库!$A:$A,[1]邦达数据库!$C:$C)</f>
        <v>#N/A</v>
      </c>
    </row>
    <row r="1962" ht="30" customHeight="1" spans="1:6">
      <c r="A1962" s="2" t="s">
        <v>4119</v>
      </c>
      <c r="B1962" s="3" t="s">
        <v>4112</v>
      </c>
      <c r="C1962" s="3" t="s">
        <v>4115</v>
      </c>
      <c r="D1962" s="3" t="s">
        <v>104</v>
      </c>
      <c r="E1962" s="3" t="s">
        <v>105</v>
      </c>
      <c r="F1962" t="e">
        <f>_xlfn.XLOOKUP(A1962,[1]邦达数据库!$A:$A,[1]邦达数据库!$C:$C)</f>
        <v>#N/A</v>
      </c>
    </row>
    <row r="1963" ht="30" customHeight="1" spans="1:6">
      <c r="A1963" s="4" t="s">
        <v>4120</v>
      </c>
      <c r="B1963" s="5" t="s">
        <v>4112</v>
      </c>
      <c r="C1963" s="5" t="s">
        <v>4115</v>
      </c>
      <c r="D1963" s="5" t="s">
        <v>417</v>
      </c>
      <c r="E1963" s="5" t="s">
        <v>418</v>
      </c>
      <c r="F1963" t="e">
        <f>_xlfn.XLOOKUP(A1963,[1]邦达数据库!$A:$A,[1]邦达数据库!$C:$C)</f>
        <v>#N/A</v>
      </c>
    </row>
    <row r="1964" ht="30" customHeight="1" spans="1:6">
      <c r="A1964" s="2" t="s">
        <v>4121</v>
      </c>
      <c r="B1964" s="3" t="s">
        <v>4122</v>
      </c>
      <c r="C1964" s="3" t="s">
        <v>4123</v>
      </c>
      <c r="D1964" s="3" t="s">
        <v>280</v>
      </c>
      <c r="E1964" s="3" t="s">
        <v>281</v>
      </c>
      <c r="F1964" t="e">
        <f>_xlfn.XLOOKUP(A1964,[1]邦达数据库!$A:$A,[1]邦达数据库!$C:$C)</f>
        <v>#N/A</v>
      </c>
    </row>
    <row r="1965" ht="30" customHeight="1" spans="1:6">
      <c r="A1965" s="4" t="s">
        <v>4124</v>
      </c>
      <c r="B1965" s="5" t="s">
        <v>4122</v>
      </c>
      <c r="C1965" s="5" t="s">
        <v>4123</v>
      </c>
      <c r="D1965" s="5" t="s">
        <v>280</v>
      </c>
      <c r="E1965" s="5" t="s">
        <v>281</v>
      </c>
      <c r="F1965" t="e">
        <f>_xlfn.XLOOKUP(A1965,[1]邦达数据库!$A:$A,[1]邦达数据库!$C:$C)</f>
        <v>#N/A</v>
      </c>
    </row>
    <row r="1966" ht="30" customHeight="1" spans="1:6">
      <c r="A1966" s="2" t="s">
        <v>4125</v>
      </c>
      <c r="B1966" s="3" t="s">
        <v>4122</v>
      </c>
      <c r="C1966" s="3" t="s">
        <v>4123</v>
      </c>
      <c r="D1966" s="3" t="s">
        <v>280</v>
      </c>
      <c r="E1966" s="3" t="s">
        <v>281</v>
      </c>
      <c r="F1966" t="e">
        <f>_xlfn.XLOOKUP(A1966,[1]邦达数据库!$A:$A,[1]邦达数据库!$C:$C)</f>
        <v>#N/A</v>
      </c>
    </row>
    <row r="1967" ht="30" customHeight="1" spans="1:6">
      <c r="A1967" s="4" t="s">
        <v>4126</v>
      </c>
      <c r="B1967" s="5" t="s">
        <v>4127</v>
      </c>
      <c r="C1967" s="5" t="s">
        <v>3327</v>
      </c>
      <c r="D1967" s="5" t="s">
        <v>217</v>
      </c>
      <c r="E1967" s="5" t="s">
        <v>218</v>
      </c>
      <c r="F1967" t="e">
        <f>_xlfn.XLOOKUP(A1967,[1]邦达数据库!$A:$A,[1]邦达数据库!$C:$C)</f>
        <v>#N/A</v>
      </c>
    </row>
    <row r="1968" ht="30" customHeight="1" spans="1:6">
      <c r="A1968" s="2" t="s">
        <v>4128</v>
      </c>
      <c r="B1968" s="3" t="s">
        <v>4127</v>
      </c>
      <c r="C1968" s="3" t="s">
        <v>3327</v>
      </c>
      <c r="D1968" s="3" t="s">
        <v>1312</v>
      </c>
      <c r="E1968" s="3" t="s">
        <v>1313</v>
      </c>
      <c r="F1968" t="e">
        <f>_xlfn.XLOOKUP(A1968,[1]邦达数据库!$A:$A,[1]邦达数据库!$C:$C)</f>
        <v>#N/A</v>
      </c>
    </row>
    <row r="1969" ht="30" customHeight="1" spans="1:6">
      <c r="A1969" s="4" t="s">
        <v>4129</v>
      </c>
      <c r="B1969" s="5" t="s">
        <v>4127</v>
      </c>
      <c r="C1969" s="5" t="s">
        <v>3327</v>
      </c>
      <c r="D1969" s="5" t="s">
        <v>217</v>
      </c>
      <c r="E1969" s="5" t="s">
        <v>218</v>
      </c>
      <c r="F1969" t="e">
        <f>_xlfn.XLOOKUP(A1969,[1]邦达数据库!$A:$A,[1]邦达数据库!$C:$C)</f>
        <v>#N/A</v>
      </c>
    </row>
    <row r="1970" ht="30" customHeight="1" spans="1:6">
      <c r="A1970" s="2" t="s">
        <v>4130</v>
      </c>
      <c r="B1970" s="3" t="s">
        <v>4127</v>
      </c>
      <c r="C1970" s="3" t="s">
        <v>3327</v>
      </c>
      <c r="D1970" s="3" t="s">
        <v>217</v>
      </c>
      <c r="E1970" s="3" t="s">
        <v>218</v>
      </c>
      <c r="F1970" t="e">
        <f>_xlfn.XLOOKUP(A1970,[1]邦达数据库!$A:$A,[1]邦达数据库!$C:$C)</f>
        <v>#N/A</v>
      </c>
    </row>
    <row r="1971" ht="30" customHeight="1" spans="1:6">
      <c r="A1971" s="4" t="s">
        <v>4131</v>
      </c>
      <c r="B1971" s="5" t="s">
        <v>4132</v>
      </c>
      <c r="C1971" s="5" t="s">
        <v>3554</v>
      </c>
      <c r="D1971" s="5" t="s">
        <v>4133</v>
      </c>
      <c r="E1971" s="5" t="s">
        <v>4134</v>
      </c>
      <c r="F1971" t="e">
        <f>_xlfn.XLOOKUP(A1971,[1]邦达数据库!$A:$A,[1]邦达数据库!$C:$C)</f>
        <v>#N/A</v>
      </c>
    </row>
    <row r="1972" ht="30" customHeight="1" spans="1:6">
      <c r="A1972" s="2" t="s">
        <v>4135</v>
      </c>
      <c r="B1972" s="3" t="s">
        <v>4132</v>
      </c>
      <c r="C1972" s="3" t="s">
        <v>3554</v>
      </c>
      <c r="D1972" s="3" t="s">
        <v>4133</v>
      </c>
      <c r="E1972" s="3" t="s">
        <v>4134</v>
      </c>
      <c r="F1972" t="e">
        <f>_xlfn.XLOOKUP(A1972,[1]邦达数据库!$A:$A,[1]邦达数据库!$C:$C)</f>
        <v>#N/A</v>
      </c>
    </row>
    <row r="1973" ht="30" customHeight="1" spans="1:6">
      <c r="A1973" s="4" t="s">
        <v>4136</v>
      </c>
      <c r="B1973" s="5" t="s">
        <v>4132</v>
      </c>
      <c r="C1973" s="5" t="s">
        <v>3554</v>
      </c>
      <c r="D1973" s="5" t="s">
        <v>1000</v>
      </c>
      <c r="E1973" s="5" t="s">
        <v>1001</v>
      </c>
      <c r="F1973" t="e">
        <f>_xlfn.XLOOKUP(A1973,[1]邦达数据库!$A:$A,[1]邦达数据库!$C:$C)</f>
        <v>#N/A</v>
      </c>
    </row>
    <row r="1974" ht="30" customHeight="1" spans="1:6">
      <c r="A1974" s="2" t="s">
        <v>4137</v>
      </c>
      <c r="B1974" s="3" t="s">
        <v>4138</v>
      </c>
      <c r="C1974" s="3" t="s">
        <v>123</v>
      </c>
      <c r="D1974" s="3" t="s">
        <v>181</v>
      </c>
      <c r="E1974" s="3" t="s">
        <v>182</v>
      </c>
      <c r="F1974" t="e">
        <f>_xlfn.XLOOKUP(A1974,[1]邦达数据库!$A:$A,[1]邦达数据库!$C:$C)</f>
        <v>#N/A</v>
      </c>
    </row>
    <row r="1975" ht="30" customHeight="1" spans="1:6">
      <c r="A1975" s="4" t="s">
        <v>4139</v>
      </c>
      <c r="B1975" s="5" t="s">
        <v>4138</v>
      </c>
      <c r="C1975" s="5" t="s">
        <v>123</v>
      </c>
      <c r="D1975" s="5" t="s">
        <v>588</v>
      </c>
      <c r="E1975" s="5" t="s">
        <v>589</v>
      </c>
      <c r="F1975" t="e">
        <f>_xlfn.XLOOKUP(A1975,[1]邦达数据库!$A:$A,[1]邦达数据库!$C:$C)</f>
        <v>#N/A</v>
      </c>
    </row>
    <row r="1976" ht="30" customHeight="1" spans="1:6">
      <c r="A1976" s="2" t="s">
        <v>4140</v>
      </c>
      <c r="B1976" s="3" t="s">
        <v>4138</v>
      </c>
      <c r="C1976" s="3" t="s">
        <v>123</v>
      </c>
      <c r="D1976" s="3" t="s">
        <v>588</v>
      </c>
      <c r="E1976" s="3" t="s">
        <v>589</v>
      </c>
      <c r="F1976" t="e">
        <f>_xlfn.XLOOKUP(A1976,[1]邦达数据库!$A:$A,[1]邦达数据库!$C:$C)</f>
        <v>#N/A</v>
      </c>
    </row>
    <row r="1977" ht="30" customHeight="1" spans="1:6">
      <c r="A1977" s="4" t="s">
        <v>4141</v>
      </c>
      <c r="B1977" s="5" t="s">
        <v>4142</v>
      </c>
      <c r="C1977" s="5" t="s">
        <v>2054</v>
      </c>
      <c r="D1977" s="5" t="s">
        <v>1856</v>
      </c>
      <c r="E1977" s="5" t="s">
        <v>1857</v>
      </c>
      <c r="F1977" t="e">
        <f>_xlfn.XLOOKUP(A1977,[1]邦达数据库!$A:$A,[1]邦达数据库!$C:$C)</f>
        <v>#N/A</v>
      </c>
    </row>
    <row r="1978" ht="30" customHeight="1" spans="1:6">
      <c r="A1978" s="2" t="s">
        <v>4143</v>
      </c>
      <c r="B1978" s="3" t="s">
        <v>4144</v>
      </c>
      <c r="C1978" s="3" t="s">
        <v>4145</v>
      </c>
      <c r="D1978" s="3" t="s">
        <v>618</v>
      </c>
      <c r="E1978" s="3" t="s">
        <v>619</v>
      </c>
      <c r="F1978" t="e">
        <f>_xlfn.XLOOKUP(A1978,[1]邦达数据库!$A:$A,[1]邦达数据库!$C:$C)</f>
        <v>#N/A</v>
      </c>
    </row>
    <row r="1979" ht="30" customHeight="1" spans="1:6">
      <c r="A1979" s="4" t="s">
        <v>4146</v>
      </c>
      <c r="B1979" s="5" t="s">
        <v>4147</v>
      </c>
      <c r="C1979" s="5" t="s">
        <v>4148</v>
      </c>
      <c r="D1979" s="5" t="s">
        <v>104</v>
      </c>
      <c r="E1979" s="5" t="s">
        <v>105</v>
      </c>
      <c r="F1979" t="e">
        <f>_xlfn.XLOOKUP(A1979,[1]邦达数据库!$A:$A,[1]邦达数据库!$C:$C)</f>
        <v>#N/A</v>
      </c>
    </row>
    <row r="1980" ht="30" customHeight="1" spans="1:6">
      <c r="A1980" s="2" t="s">
        <v>4149</v>
      </c>
      <c r="B1980" s="3" t="s">
        <v>4150</v>
      </c>
      <c r="C1980" s="3" t="s">
        <v>221</v>
      </c>
      <c r="D1980" s="3" t="s">
        <v>1815</v>
      </c>
      <c r="E1980" s="3" t="s">
        <v>1816</v>
      </c>
      <c r="F1980" t="e">
        <f>_xlfn.XLOOKUP(A1980,[1]邦达数据库!$A:$A,[1]邦达数据库!$C:$C)</f>
        <v>#N/A</v>
      </c>
    </row>
    <row r="1981" ht="30" customHeight="1" spans="1:6">
      <c r="A1981" s="4" t="s">
        <v>4151</v>
      </c>
      <c r="B1981" s="5" t="s">
        <v>4152</v>
      </c>
      <c r="C1981" s="5" t="s">
        <v>2012</v>
      </c>
      <c r="D1981" s="5" t="s">
        <v>4153</v>
      </c>
      <c r="E1981" s="5" t="s">
        <v>4154</v>
      </c>
      <c r="F1981" t="e">
        <f>_xlfn.XLOOKUP(A1981,[1]邦达数据库!$A:$A,[1]邦达数据库!$C:$C)</f>
        <v>#N/A</v>
      </c>
    </row>
    <row r="1982" ht="30" customHeight="1" spans="1:6">
      <c r="A1982" s="2" t="s">
        <v>4155</v>
      </c>
      <c r="B1982" s="3" t="s">
        <v>4156</v>
      </c>
      <c r="C1982" s="3" t="s">
        <v>4157</v>
      </c>
      <c r="D1982" s="3" t="s">
        <v>4153</v>
      </c>
      <c r="E1982" s="3" t="s">
        <v>4154</v>
      </c>
      <c r="F1982" t="e">
        <f>_xlfn.XLOOKUP(A1982,[1]邦达数据库!$A:$A,[1]邦达数据库!$C:$C)</f>
        <v>#N/A</v>
      </c>
    </row>
    <row r="1983" ht="30" customHeight="1" spans="1:6">
      <c r="A1983" s="4" t="s">
        <v>4158</v>
      </c>
      <c r="B1983" s="5" t="s">
        <v>4159</v>
      </c>
      <c r="C1983" s="5" t="s">
        <v>2730</v>
      </c>
      <c r="D1983" s="5" t="s">
        <v>4153</v>
      </c>
      <c r="E1983" s="5" t="s">
        <v>4154</v>
      </c>
      <c r="F1983" t="e">
        <f>_xlfn.XLOOKUP(A1983,[1]邦达数据库!$A:$A,[1]邦达数据库!$C:$C)</f>
        <v>#N/A</v>
      </c>
    </row>
    <row r="1984" ht="30" customHeight="1" spans="1:6">
      <c r="A1984" s="2" t="s">
        <v>4160</v>
      </c>
      <c r="B1984" s="3" t="s">
        <v>4161</v>
      </c>
      <c r="C1984" s="3" t="s">
        <v>4162</v>
      </c>
      <c r="D1984" s="3" t="s">
        <v>533</v>
      </c>
      <c r="E1984" s="3" t="s">
        <v>534</v>
      </c>
      <c r="F1984" t="e">
        <f>_xlfn.XLOOKUP(A1984,[1]邦达数据库!$A:$A,[1]邦达数据库!$C:$C)</f>
        <v>#N/A</v>
      </c>
    </row>
    <row r="1985" ht="30" customHeight="1" spans="1:6">
      <c r="A1985" s="4" t="s">
        <v>4163</v>
      </c>
      <c r="B1985" s="5" t="s">
        <v>4164</v>
      </c>
      <c r="C1985" s="5" t="s">
        <v>4165</v>
      </c>
      <c r="D1985" s="5" t="s">
        <v>4153</v>
      </c>
      <c r="E1985" s="5" t="s">
        <v>4154</v>
      </c>
      <c r="F1985" t="e">
        <f>_xlfn.XLOOKUP(A1985,[1]邦达数据库!$A:$A,[1]邦达数据库!$C:$C)</f>
        <v>#N/A</v>
      </c>
    </row>
    <row r="1986" ht="30" customHeight="1" spans="1:6">
      <c r="A1986" s="2" t="s">
        <v>4166</v>
      </c>
      <c r="B1986" s="3" t="s">
        <v>4167</v>
      </c>
      <c r="C1986" s="3" t="s">
        <v>4168</v>
      </c>
      <c r="D1986" s="3" t="s">
        <v>2039</v>
      </c>
      <c r="E1986" s="3" t="s">
        <v>2040</v>
      </c>
      <c r="F1986" t="e">
        <f>_xlfn.XLOOKUP(A1986,[1]邦达数据库!$A:$A,[1]邦达数据库!$C:$C)</f>
        <v>#N/A</v>
      </c>
    </row>
    <row r="1987" ht="30" customHeight="1" spans="1:6">
      <c r="A1987" s="4" t="s">
        <v>4169</v>
      </c>
      <c r="B1987" s="5" t="s">
        <v>4170</v>
      </c>
      <c r="C1987" s="5" t="s">
        <v>4171</v>
      </c>
      <c r="D1987" s="5" t="s">
        <v>2039</v>
      </c>
      <c r="E1987" s="5" t="s">
        <v>2040</v>
      </c>
      <c r="F1987" t="e">
        <f>_xlfn.XLOOKUP(A1987,[1]邦达数据库!$A:$A,[1]邦达数据库!$C:$C)</f>
        <v>#N/A</v>
      </c>
    </row>
    <row r="1988" ht="30" customHeight="1" spans="1:6">
      <c r="A1988" s="2" t="s">
        <v>4172</v>
      </c>
      <c r="B1988" s="3" t="s">
        <v>4173</v>
      </c>
      <c r="C1988" s="3" t="s">
        <v>4171</v>
      </c>
      <c r="D1988" s="3" t="s">
        <v>4153</v>
      </c>
      <c r="E1988" s="3" t="s">
        <v>4154</v>
      </c>
      <c r="F1988" t="e">
        <f>_xlfn.XLOOKUP(A1988,[1]邦达数据库!$A:$A,[1]邦达数据库!$C:$C)</f>
        <v>#N/A</v>
      </c>
    </row>
    <row r="1989" ht="30" customHeight="1" spans="1:6">
      <c r="A1989" s="4" t="s">
        <v>4174</v>
      </c>
      <c r="B1989" s="5" t="s">
        <v>4175</v>
      </c>
      <c r="C1989" s="5" t="s">
        <v>4162</v>
      </c>
      <c r="D1989" s="5" t="s">
        <v>2039</v>
      </c>
      <c r="E1989" s="5" t="s">
        <v>2040</v>
      </c>
      <c r="F1989" t="e">
        <f>_xlfn.XLOOKUP(A1989,[1]邦达数据库!$A:$A,[1]邦达数据库!$C:$C)</f>
        <v>#N/A</v>
      </c>
    </row>
    <row r="1990" ht="30" customHeight="1" spans="1:6">
      <c r="A1990" s="2" t="s">
        <v>4176</v>
      </c>
      <c r="B1990" s="3" t="s">
        <v>4177</v>
      </c>
      <c r="C1990" s="3" t="s">
        <v>4168</v>
      </c>
      <c r="D1990" s="3" t="s">
        <v>533</v>
      </c>
      <c r="E1990" s="3" t="s">
        <v>534</v>
      </c>
      <c r="F1990" t="e">
        <f>_xlfn.XLOOKUP(A1990,[1]邦达数据库!$A:$A,[1]邦达数据库!$C:$C)</f>
        <v>#N/A</v>
      </c>
    </row>
    <row r="1991" ht="30" customHeight="1" spans="1:6">
      <c r="A1991" s="4" t="s">
        <v>4178</v>
      </c>
      <c r="B1991" s="5" t="s">
        <v>4179</v>
      </c>
      <c r="C1991" s="5" t="s">
        <v>4180</v>
      </c>
      <c r="D1991" s="5" t="s">
        <v>2039</v>
      </c>
      <c r="E1991" s="5" t="s">
        <v>2040</v>
      </c>
      <c r="F1991" t="e">
        <f>_xlfn.XLOOKUP(A1991,[1]邦达数据库!$A:$A,[1]邦达数据库!$C:$C)</f>
        <v>#N/A</v>
      </c>
    </row>
    <row r="1992" ht="30" customHeight="1" spans="1:6">
      <c r="A1992" s="2" t="s">
        <v>4181</v>
      </c>
      <c r="B1992" s="3" t="s">
        <v>4182</v>
      </c>
      <c r="C1992" s="3" t="s">
        <v>4183</v>
      </c>
      <c r="D1992" s="3" t="s">
        <v>1057</v>
      </c>
      <c r="E1992" s="3" t="s">
        <v>1058</v>
      </c>
      <c r="F1992" t="e">
        <f>_xlfn.XLOOKUP(A1992,[1]邦达数据库!$A:$A,[1]邦达数据库!$C:$C)</f>
        <v>#N/A</v>
      </c>
    </row>
    <row r="1993" ht="30" customHeight="1" spans="1:6">
      <c r="A1993" s="4" t="s">
        <v>4184</v>
      </c>
      <c r="B1993" s="5" t="s">
        <v>4182</v>
      </c>
      <c r="C1993" s="5" t="s">
        <v>4183</v>
      </c>
      <c r="D1993" s="5" t="s">
        <v>1057</v>
      </c>
      <c r="E1993" s="5" t="s">
        <v>1058</v>
      </c>
      <c r="F1993" t="e">
        <f>_xlfn.XLOOKUP(A1993,[1]邦达数据库!$A:$A,[1]邦达数据库!$C:$C)</f>
        <v>#N/A</v>
      </c>
    </row>
    <row r="1994" ht="30" customHeight="1" spans="1:6">
      <c r="A1994" s="2" t="s">
        <v>4185</v>
      </c>
      <c r="B1994" s="3" t="s">
        <v>4182</v>
      </c>
      <c r="C1994" s="3" t="s">
        <v>4183</v>
      </c>
      <c r="D1994" s="3" t="s">
        <v>1057</v>
      </c>
      <c r="E1994" s="3" t="s">
        <v>1058</v>
      </c>
      <c r="F1994" t="e">
        <f>_xlfn.XLOOKUP(A1994,[1]邦达数据库!$A:$A,[1]邦达数据库!$C:$C)</f>
        <v>#N/A</v>
      </c>
    </row>
    <row r="1995" ht="30" customHeight="1" spans="1:6">
      <c r="A1995" s="4" t="s">
        <v>4186</v>
      </c>
      <c r="B1995" s="5" t="s">
        <v>4182</v>
      </c>
      <c r="C1995" s="5" t="s">
        <v>4183</v>
      </c>
      <c r="D1995" s="5" t="s">
        <v>1057</v>
      </c>
      <c r="E1995" s="5" t="s">
        <v>1058</v>
      </c>
      <c r="F1995" t="e">
        <f>_xlfn.XLOOKUP(A1995,[1]邦达数据库!$A:$A,[1]邦达数据库!$C:$C)</f>
        <v>#N/A</v>
      </c>
    </row>
    <row r="1996" ht="30" customHeight="1" spans="1:6">
      <c r="A1996" s="2" t="s">
        <v>4187</v>
      </c>
      <c r="B1996" s="3" t="s">
        <v>4182</v>
      </c>
      <c r="C1996" s="3" t="s">
        <v>4183</v>
      </c>
      <c r="D1996" s="3" t="s">
        <v>1057</v>
      </c>
      <c r="E1996" s="3" t="s">
        <v>1058</v>
      </c>
      <c r="F1996" t="e">
        <f>_xlfn.XLOOKUP(A1996,[1]邦达数据库!$A:$A,[1]邦达数据库!$C:$C)</f>
        <v>#N/A</v>
      </c>
    </row>
    <row r="1997" ht="30" customHeight="1" spans="1:6">
      <c r="A1997" s="4" t="s">
        <v>4188</v>
      </c>
      <c r="B1997" s="5" t="s">
        <v>4182</v>
      </c>
      <c r="C1997" s="5" t="s">
        <v>4183</v>
      </c>
      <c r="D1997" s="5" t="s">
        <v>1057</v>
      </c>
      <c r="E1997" s="5" t="s">
        <v>1058</v>
      </c>
      <c r="F1997" t="e">
        <f>_xlfn.XLOOKUP(A1997,[1]邦达数据库!$A:$A,[1]邦达数据库!$C:$C)</f>
        <v>#N/A</v>
      </c>
    </row>
    <row r="1998" ht="30" customHeight="1" spans="1:6">
      <c r="A1998" s="2" t="s">
        <v>4189</v>
      </c>
      <c r="B1998" s="3" t="s">
        <v>4190</v>
      </c>
      <c r="C1998" s="3" t="s">
        <v>3881</v>
      </c>
      <c r="D1998" s="3" t="s">
        <v>4191</v>
      </c>
      <c r="E1998" s="3" t="s">
        <v>4192</v>
      </c>
      <c r="F1998" t="e">
        <f>_xlfn.XLOOKUP(A1998,[1]邦达数据库!$A:$A,[1]邦达数据库!$C:$C)</f>
        <v>#N/A</v>
      </c>
    </row>
    <row r="1999" ht="30" customHeight="1" spans="1:6">
      <c r="A1999" s="4" t="s">
        <v>4193</v>
      </c>
      <c r="B1999" s="5" t="s">
        <v>4194</v>
      </c>
      <c r="C1999" s="5" t="s">
        <v>3881</v>
      </c>
      <c r="D1999" s="5" t="s">
        <v>4195</v>
      </c>
      <c r="E1999" s="5" t="s">
        <v>4196</v>
      </c>
      <c r="F1999" t="e">
        <f>_xlfn.XLOOKUP(A1999,[1]邦达数据库!$A:$A,[1]邦达数据库!$C:$C)</f>
        <v>#N/A</v>
      </c>
    </row>
    <row r="2000" ht="30" customHeight="1" spans="1:6">
      <c r="A2000" s="2" t="s">
        <v>4197</v>
      </c>
      <c r="B2000" s="3" t="s">
        <v>4190</v>
      </c>
      <c r="C2000" s="3" t="s">
        <v>3881</v>
      </c>
      <c r="D2000" s="3" t="s">
        <v>618</v>
      </c>
      <c r="E2000" s="3" t="s">
        <v>619</v>
      </c>
      <c r="F2000" t="e">
        <f>_xlfn.XLOOKUP(A2000,[1]邦达数据库!$A:$A,[1]邦达数据库!$C:$C)</f>
        <v>#N/A</v>
      </c>
    </row>
    <row r="2001" ht="30" customHeight="1" spans="1:6">
      <c r="A2001" s="4" t="s">
        <v>4198</v>
      </c>
      <c r="B2001" s="5" t="s">
        <v>4194</v>
      </c>
      <c r="C2001" s="5" t="s">
        <v>3881</v>
      </c>
      <c r="D2001" s="5" t="s">
        <v>173</v>
      </c>
      <c r="E2001" s="5" t="s">
        <v>174</v>
      </c>
      <c r="F2001" t="e">
        <f>_xlfn.XLOOKUP(A2001,[1]邦达数据库!$A:$A,[1]邦达数据库!$C:$C)</f>
        <v>#N/A</v>
      </c>
    </row>
    <row r="2002" ht="30" customHeight="1" spans="1:6">
      <c r="A2002" s="2" t="s">
        <v>4199</v>
      </c>
      <c r="B2002" s="3" t="s">
        <v>4200</v>
      </c>
      <c r="C2002" s="3" t="s">
        <v>4201</v>
      </c>
      <c r="D2002" s="3" t="s">
        <v>94</v>
      </c>
      <c r="E2002" s="3" t="s">
        <v>95</v>
      </c>
      <c r="F2002" t="e">
        <f>_xlfn.XLOOKUP(A2002,[1]邦达数据库!$A:$A,[1]邦达数据库!$C:$C)</f>
        <v>#N/A</v>
      </c>
    </row>
    <row r="2003" ht="30" customHeight="1" spans="1:6">
      <c r="A2003" s="4" t="s">
        <v>4202</v>
      </c>
      <c r="B2003" s="5" t="s">
        <v>4203</v>
      </c>
      <c r="C2003" s="5" t="s">
        <v>4109</v>
      </c>
      <c r="D2003" s="5" t="s">
        <v>4204</v>
      </c>
      <c r="E2003" s="5" t="s">
        <v>4205</v>
      </c>
      <c r="F2003" t="e">
        <f>_xlfn.XLOOKUP(A2003,[1]邦达数据库!$A:$A,[1]邦达数据库!$C:$C)</f>
        <v>#N/A</v>
      </c>
    </row>
    <row r="2004" ht="30" customHeight="1" spans="1:6">
      <c r="A2004" s="2" t="s">
        <v>4206</v>
      </c>
      <c r="B2004" s="3" t="s">
        <v>4203</v>
      </c>
      <c r="C2004" s="3" t="s">
        <v>4109</v>
      </c>
      <c r="D2004" s="3" t="s">
        <v>1920</v>
      </c>
      <c r="E2004" s="3" t="s">
        <v>1921</v>
      </c>
      <c r="F2004" t="e">
        <f>_xlfn.XLOOKUP(A2004,[1]邦达数据库!$A:$A,[1]邦达数据库!$C:$C)</f>
        <v>#N/A</v>
      </c>
    </row>
    <row r="2005" ht="30" customHeight="1" spans="1:6">
      <c r="A2005" s="4" t="s">
        <v>4207</v>
      </c>
      <c r="B2005" s="5" t="s">
        <v>4203</v>
      </c>
      <c r="C2005" s="5" t="s">
        <v>4109</v>
      </c>
      <c r="D2005" s="5" t="s">
        <v>3272</v>
      </c>
      <c r="E2005" s="5" t="s">
        <v>3273</v>
      </c>
      <c r="F2005" t="e">
        <f>_xlfn.XLOOKUP(A2005,[1]邦达数据库!$A:$A,[1]邦达数据库!$C:$C)</f>
        <v>#N/A</v>
      </c>
    </row>
    <row r="2006" ht="30" customHeight="1" spans="1:6">
      <c r="A2006" s="2" t="s">
        <v>4208</v>
      </c>
      <c r="B2006" s="3" t="s">
        <v>4209</v>
      </c>
      <c r="C2006" s="3" t="s">
        <v>4210</v>
      </c>
      <c r="D2006" s="3" t="s">
        <v>1285</v>
      </c>
      <c r="E2006" s="3" t="s">
        <v>1286</v>
      </c>
      <c r="F2006" t="e">
        <f>_xlfn.XLOOKUP(A2006,[1]邦达数据库!$A:$A,[1]邦达数据库!$C:$C)</f>
        <v>#N/A</v>
      </c>
    </row>
    <row r="2007" ht="30" customHeight="1" spans="1:6">
      <c r="A2007" s="4" t="s">
        <v>4211</v>
      </c>
      <c r="B2007" s="5" t="s">
        <v>3438</v>
      </c>
      <c r="C2007" s="5" t="s">
        <v>962</v>
      </c>
      <c r="D2007" s="5" t="s">
        <v>1110</v>
      </c>
      <c r="E2007" s="5" t="s">
        <v>1111</v>
      </c>
      <c r="F2007" t="e">
        <f>_xlfn.XLOOKUP(A2007,[1]邦达数据库!$A:$A,[1]邦达数据库!$C:$C)</f>
        <v>#N/A</v>
      </c>
    </row>
    <row r="2008" ht="30" customHeight="1" spans="1:6">
      <c r="A2008" s="2" t="s">
        <v>4212</v>
      </c>
      <c r="B2008" s="3" t="s">
        <v>3438</v>
      </c>
      <c r="C2008" s="3" t="s">
        <v>962</v>
      </c>
      <c r="D2008" s="3" t="s">
        <v>711</v>
      </c>
      <c r="E2008" s="3" t="s">
        <v>712</v>
      </c>
      <c r="F2008" t="e">
        <f>_xlfn.XLOOKUP(A2008,[1]邦达数据库!$A:$A,[1]邦达数据库!$C:$C)</f>
        <v>#N/A</v>
      </c>
    </row>
    <row r="2009" ht="30" customHeight="1" spans="1:6">
      <c r="A2009" s="4" t="s">
        <v>4213</v>
      </c>
      <c r="B2009" s="5" t="s">
        <v>3438</v>
      </c>
      <c r="C2009" s="5" t="s">
        <v>17</v>
      </c>
      <c r="D2009" s="5" t="s">
        <v>1285</v>
      </c>
      <c r="E2009" s="5" t="s">
        <v>1286</v>
      </c>
      <c r="F2009" t="e">
        <f>_xlfn.XLOOKUP(A2009,[1]邦达数据库!$A:$A,[1]邦达数据库!$C:$C)</f>
        <v>#N/A</v>
      </c>
    </row>
    <row r="2010" ht="30" customHeight="1" spans="1:6">
      <c r="A2010" s="2" t="s">
        <v>4214</v>
      </c>
      <c r="B2010" s="3" t="s">
        <v>3438</v>
      </c>
      <c r="C2010" s="3" t="s">
        <v>962</v>
      </c>
      <c r="D2010" s="3" t="s">
        <v>1669</v>
      </c>
      <c r="E2010" s="3" t="s">
        <v>1670</v>
      </c>
      <c r="F2010" t="e">
        <f>_xlfn.XLOOKUP(A2010,[1]邦达数据库!$A:$A,[1]邦达数据库!$C:$C)</f>
        <v>#N/A</v>
      </c>
    </row>
    <row r="2011" ht="30" customHeight="1" spans="1:6">
      <c r="A2011" s="4" t="s">
        <v>4215</v>
      </c>
      <c r="B2011" s="5" t="s">
        <v>4216</v>
      </c>
      <c r="C2011" s="5" t="s">
        <v>3726</v>
      </c>
      <c r="D2011" s="5" t="s">
        <v>604</v>
      </c>
      <c r="E2011" s="5" t="s">
        <v>605</v>
      </c>
      <c r="F2011" t="e">
        <f>_xlfn.XLOOKUP(A2011,[1]邦达数据库!$A:$A,[1]邦达数据库!$C:$C)</f>
        <v>#N/A</v>
      </c>
    </row>
    <row r="2012" ht="30" customHeight="1" spans="1:6">
      <c r="A2012" s="2" t="s">
        <v>4217</v>
      </c>
      <c r="B2012" s="3" t="s">
        <v>4216</v>
      </c>
      <c r="C2012" s="3" t="s">
        <v>3726</v>
      </c>
      <c r="D2012" s="3" t="s">
        <v>604</v>
      </c>
      <c r="E2012" s="3" t="s">
        <v>605</v>
      </c>
      <c r="F2012" t="e">
        <f>_xlfn.XLOOKUP(A2012,[1]邦达数据库!$A:$A,[1]邦达数据库!$C:$C)</f>
        <v>#N/A</v>
      </c>
    </row>
    <row r="2013" ht="30" customHeight="1" spans="1:6">
      <c r="A2013" s="4" t="s">
        <v>4218</v>
      </c>
      <c r="B2013" s="5" t="s">
        <v>4219</v>
      </c>
      <c r="C2013" s="5" t="s">
        <v>275</v>
      </c>
      <c r="D2013" s="5" t="s">
        <v>2595</v>
      </c>
      <c r="E2013" s="5" t="s">
        <v>2596</v>
      </c>
      <c r="F2013" t="e">
        <f>_xlfn.XLOOKUP(A2013,[1]邦达数据库!$A:$A,[1]邦达数据库!$C:$C)</f>
        <v>#N/A</v>
      </c>
    </row>
    <row r="2014" ht="30" customHeight="1" spans="1:6">
      <c r="A2014" s="2" t="s">
        <v>4220</v>
      </c>
      <c r="B2014" s="3" t="s">
        <v>4219</v>
      </c>
      <c r="C2014" s="3" t="s">
        <v>275</v>
      </c>
      <c r="D2014" s="3" t="s">
        <v>794</v>
      </c>
      <c r="E2014" s="3" t="s">
        <v>795</v>
      </c>
      <c r="F2014" t="e">
        <f>_xlfn.XLOOKUP(A2014,[1]邦达数据库!$A:$A,[1]邦达数据库!$C:$C)</f>
        <v>#N/A</v>
      </c>
    </row>
    <row r="2015" ht="30" customHeight="1" spans="1:6">
      <c r="A2015" s="4" t="s">
        <v>4221</v>
      </c>
      <c r="B2015" s="5" t="s">
        <v>21</v>
      </c>
      <c r="C2015" s="5" t="s">
        <v>4109</v>
      </c>
      <c r="D2015" s="5" t="s">
        <v>2250</v>
      </c>
      <c r="E2015" s="5" t="s">
        <v>2251</v>
      </c>
      <c r="F2015" t="e">
        <f>_xlfn.XLOOKUP(A2015,[1]邦达数据库!$A:$A,[1]邦达数据库!$C:$C)</f>
        <v>#N/A</v>
      </c>
    </row>
    <row r="2016" ht="30" customHeight="1" spans="1:6">
      <c r="A2016" s="2" t="s">
        <v>4222</v>
      </c>
      <c r="B2016" s="3" t="s">
        <v>4216</v>
      </c>
      <c r="C2016" s="3" t="s">
        <v>3726</v>
      </c>
      <c r="D2016" s="3" t="s">
        <v>604</v>
      </c>
      <c r="E2016" s="3" t="s">
        <v>605</v>
      </c>
      <c r="F2016" t="e">
        <f>_xlfn.XLOOKUP(A2016,[1]邦达数据库!$A:$A,[1]邦达数据库!$C:$C)</f>
        <v>#N/A</v>
      </c>
    </row>
    <row r="2017" ht="30" customHeight="1" spans="1:6">
      <c r="A2017" s="4" t="s">
        <v>4223</v>
      </c>
      <c r="B2017" s="5" t="s">
        <v>4224</v>
      </c>
      <c r="C2017" s="5" t="s">
        <v>340</v>
      </c>
      <c r="D2017" s="5" t="s">
        <v>391</v>
      </c>
      <c r="E2017" s="5" t="s">
        <v>392</v>
      </c>
      <c r="F2017" t="e">
        <f>_xlfn.XLOOKUP(A2017,[1]邦达数据库!$A:$A,[1]邦达数据库!$C:$C)</f>
        <v>#N/A</v>
      </c>
    </row>
    <row r="2018" ht="30" customHeight="1" spans="1:6">
      <c r="A2018" s="2" t="s">
        <v>4225</v>
      </c>
      <c r="B2018" s="3" t="s">
        <v>4224</v>
      </c>
      <c r="C2018" s="3" t="s">
        <v>340</v>
      </c>
      <c r="D2018" s="3" t="s">
        <v>568</v>
      </c>
      <c r="E2018" s="3" t="s">
        <v>569</v>
      </c>
      <c r="F2018" t="e">
        <f>_xlfn.XLOOKUP(A2018,[1]邦达数据库!$A:$A,[1]邦达数据库!$C:$C)</f>
        <v>#N/A</v>
      </c>
    </row>
    <row r="2019" ht="30" customHeight="1" spans="1:6">
      <c r="A2019" s="4" t="s">
        <v>4226</v>
      </c>
      <c r="B2019" s="5" t="s">
        <v>4227</v>
      </c>
      <c r="C2019" s="5" t="s">
        <v>17</v>
      </c>
      <c r="D2019" s="5" t="s">
        <v>400</v>
      </c>
      <c r="E2019" s="5" t="s">
        <v>401</v>
      </c>
      <c r="F2019" t="e">
        <f>_xlfn.XLOOKUP(A2019,[1]邦达数据库!$A:$A,[1]邦达数据库!$C:$C)</f>
        <v>#N/A</v>
      </c>
    </row>
    <row r="2020" ht="30" customHeight="1" spans="1:6">
      <c r="A2020" s="2" t="s">
        <v>4228</v>
      </c>
      <c r="B2020" s="3" t="s">
        <v>4229</v>
      </c>
      <c r="C2020" s="3" t="s">
        <v>88</v>
      </c>
      <c r="D2020" s="3" t="s">
        <v>400</v>
      </c>
      <c r="E2020" s="3" t="s">
        <v>401</v>
      </c>
      <c r="F2020" t="e">
        <f>_xlfn.XLOOKUP(A2020,[1]邦达数据库!$A:$A,[1]邦达数据库!$C:$C)</f>
        <v>#N/A</v>
      </c>
    </row>
    <row r="2021" ht="30" customHeight="1" spans="1:6">
      <c r="A2021" s="4" t="s">
        <v>4230</v>
      </c>
      <c r="B2021" s="5" t="s">
        <v>4229</v>
      </c>
      <c r="C2021" s="5" t="s">
        <v>88</v>
      </c>
      <c r="D2021" s="5" t="s">
        <v>400</v>
      </c>
      <c r="E2021" s="5" t="s">
        <v>401</v>
      </c>
      <c r="F2021" t="e">
        <f>_xlfn.XLOOKUP(A2021,[1]邦达数据库!$A:$A,[1]邦达数据库!$C:$C)</f>
        <v>#N/A</v>
      </c>
    </row>
    <row r="2022" ht="30" customHeight="1" spans="1:6">
      <c r="A2022" s="2" t="s">
        <v>4231</v>
      </c>
      <c r="B2022" s="3" t="s">
        <v>4229</v>
      </c>
      <c r="C2022" s="3" t="s">
        <v>88</v>
      </c>
      <c r="D2022" s="3" t="s">
        <v>400</v>
      </c>
      <c r="E2022" s="3" t="s">
        <v>401</v>
      </c>
      <c r="F2022" t="e">
        <f>_xlfn.XLOOKUP(A2022,[1]邦达数据库!$A:$A,[1]邦达数据库!$C:$C)</f>
        <v>#N/A</v>
      </c>
    </row>
    <row r="2023" ht="30" customHeight="1" spans="1:6">
      <c r="A2023" s="4" t="s">
        <v>4232</v>
      </c>
      <c r="B2023" s="5" t="s">
        <v>4229</v>
      </c>
      <c r="C2023" s="5" t="s">
        <v>88</v>
      </c>
      <c r="D2023" s="5" t="s">
        <v>400</v>
      </c>
      <c r="E2023" s="5" t="s">
        <v>401</v>
      </c>
      <c r="F2023" t="e">
        <f>_xlfn.XLOOKUP(A2023,[1]邦达数据库!$A:$A,[1]邦达数据库!$C:$C)</f>
        <v>#N/A</v>
      </c>
    </row>
    <row r="2024" ht="30" customHeight="1" spans="1:6">
      <c r="A2024" s="2" t="s">
        <v>4233</v>
      </c>
      <c r="B2024" s="3" t="s">
        <v>21</v>
      </c>
      <c r="C2024" s="3" t="s">
        <v>4109</v>
      </c>
      <c r="D2024" s="3" t="s">
        <v>2250</v>
      </c>
      <c r="E2024" s="3" t="s">
        <v>2251</v>
      </c>
      <c r="F2024" t="e">
        <f>_xlfn.XLOOKUP(A2024,[1]邦达数据库!$A:$A,[1]邦达数据库!$C:$C)</f>
        <v>#N/A</v>
      </c>
    </row>
    <row r="2025" ht="30" customHeight="1" spans="1:6">
      <c r="A2025" s="4" t="s">
        <v>4234</v>
      </c>
      <c r="B2025" s="5" t="s">
        <v>21</v>
      </c>
      <c r="C2025" s="5" t="s">
        <v>4109</v>
      </c>
      <c r="D2025" s="5" t="s">
        <v>2250</v>
      </c>
      <c r="E2025" s="5" t="s">
        <v>2251</v>
      </c>
      <c r="F2025" t="e">
        <f>_xlfn.XLOOKUP(A2025,[1]邦达数据库!$A:$A,[1]邦达数据库!$C:$C)</f>
        <v>#N/A</v>
      </c>
    </row>
    <row r="2026" ht="30" customHeight="1" spans="1:6">
      <c r="A2026" s="2" t="s">
        <v>4235</v>
      </c>
      <c r="B2026" s="3" t="s">
        <v>4236</v>
      </c>
      <c r="C2026" s="3" t="s">
        <v>4237</v>
      </c>
      <c r="D2026" s="3" t="s">
        <v>1825</v>
      </c>
      <c r="E2026" s="3" t="s">
        <v>1826</v>
      </c>
      <c r="F2026" t="e">
        <f>_xlfn.XLOOKUP(A2026,[1]邦达数据库!$A:$A,[1]邦达数据库!$C:$C)</f>
        <v>#N/A</v>
      </c>
    </row>
    <row r="2027" ht="30" customHeight="1" spans="1:6">
      <c r="A2027" s="4" t="s">
        <v>4238</v>
      </c>
      <c r="B2027" s="5" t="s">
        <v>21</v>
      </c>
      <c r="C2027" s="5" t="s">
        <v>4109</v>
      </c>
      <c r="D2027" s="5" t="s">
        <v>2250</v>
      </c>
      <c r="E2027" s="5" t="s">
        <v>2251</v>
      </c>
      <c r="F2027" t="e">
        <f>_xlfn.XLOOKUP(A2027,[1]邦达数据库!$A:$A,[1]邦达数据库!$C:$C)</f>
        <v>#N/A</v>
      </c>
    </row>
    <row r="2028" ht="30" customHeight="1" spans="1:6">
      <c r="A2028" s="2" t="s">
        <v>4239</v>
      </c>
      <c r="B2028" s="3" t="s">
        <v>4240</v>
      </c>
      <c r="C2028" s="3" t="s">
        <v>4109</v>
      </c>
      <c r="D2028" s="3" t="s">
        <v>2250</v>
      </c>
      <c r="E2028" s="3" t="s">
        <v>2251</v>
      </c>
      <c r="F2028" t="e">
        <f>_xlfn.XLOOKUP(A2028,[1]邦达数据库!$A:$A,[1]邦达数据库!$C:$C)</f>
        <v>#N/A</v>
      </c>
    </row>
    <row r="2029" ht="30" customHeight="1" spans="1:6">
      <c r="A2029" s="4" t="s">
        <v>4241</v>
      </c>
      <c r="B2029" s="5" t="s">
        <v>4242</v>
      </c>
      <c r="C2029" s="5" t="s">
        <v>4109</v>
      </c>
      <c r="D2029" s="5" t="s">
        <v>2250</v>
      </c>
      <c r="E2029" s="5" t="s">
        <v>2251</v>
      </c>
      <c r="F2029" t="e">
        <f>_xlfn.XLOOKUP(A2029,[1]邦达数据库!$A:$A,[1]邦达数据库!$C:$C)</f>
        <v>#N/A</v>
      </c>
    </row>
    <row r="2030" ht="30" customHeight="1" spans="1:6">
      <c r="A2030" s="2" t="s">
        <v>4243</v>
      </c>
      <c r="B2030" s="3" t="s">
        <v>4244</v>
      </c>
      <c r="C2030" s="3" t="s">
        <v>4237</v>
      </c>
      <c r="D2030" s="3" t="s">
        <v>38</v>
      </c>
      <c r="E2030" s="3" t="s">
        <v>39</v>
      </c>
      <c r="F2030" t="e">
        <f>_xlfn.XLOOKUP(A2030,[1]邦达数据库!$A:$A,[1]邦达数据库!$C:$C)</f>
        <v>#N/A</v>
      </c>
    </row>
    <row r="2031" ht="30" customHeight="1" spans="1:6">
      <c r="A2031" s="4" t="s">
        <v>4245</v>
      </c>
      <c r="B2031" s="5" t="s">
        <v>4246</v>
      </c>
      <c r="C2031" s="5" t="s">
        <v>4237</v>
      </c>
      <c r="D2031" s="5" t="s">
        <v>217</v>
      </c>
      <c r="E2031" s="5" t="s">
        <v>218</v>
      </c>
      <c r="F2031" t="e">
        <f>_xlfn.XLOOKUP(A2031,[1]邦达数据库!$A:$A,[1]邦达数据库!$C:$C)</f>
        <v>#N/A</v>
      </c>
    </row>
    <row r="2032" ht="30" customHeight="1" spans="1:6">
      <c r="A2032" s="2" t="s">
        <v>4247</v>
      </c>
      <c r="B2032" s="3" t="s">
        <v>4246</v>
      </c>
      <c r="C2032" s="3" t="s">
        <v>4237</v>
      </c>
      <c r="D2032" s="3" t="s">
        <v>364</v>
      </c>
      <c r="E2032" s="3" t="s">
        <v>365</v>
      </c>
      <c r="F2032" t="str">
        <f>_xlfn.XLOOKUP(A2032,[1]邦达数据库!$A:$A,[1]邦达数据库!$C:$C)</f>
        <v>8424.30.1000</v>
      </c>
    </row>
    <row r="2033" ht="30" customHeight="1" spans="1:6">
      <c r="A2033" s="4" t="s">
        <v>4248</v>
      </c>
      <c r="B2033" s="5" t="s">
        <v>4249</v>
      </c>
      <c r="C2033" s="5" t="s">
        <v>571</v>
      </c>
      <c r="D2033" s="5" t="s">
        <v>2089</v>
      </c>
      <c r="E2033" s="5" t="s">
        <v>2090</v>
      </c>
      <c r="F2033" t="str">
        <f>_xlfn.XLOOKUP(A2033,[1]邦达数据库!$A:$A,[1]邦达数据库!$C:$C)</f>
        <v>8425.42.0000</v>
      </c>
    </row>
    <row r="2034" ht="30" customHeight="1" spans="1:6">
      <c r="A2034" s="2" t="s">
        <v>4250</v>
      </c>
      <c r="B2034" s="3" t="s">
        <v>4249</v>
      </c>
      <c r="C2034" s="3" t="s">
        <v>571</v>
      </c>
      <c r="D2034" s="3" t="s">
        <v>2444</v>
      </c>
      <c r="E2034" s="3" t="s">
        <v>2445</v>
      </c>
      <c r="F2034" t="e">
        <f>_xlfn.XLOOKUP(A2034,[1]邦达数据库!$A:$A,[1]邦达数据库!$C:$C)</f>
        <v>#N/A</v>
      </c>
    </row>
    <row r="2035" ht="30" customHeight="1" spans="1:6">
      <c r="A2035" s="2" t="s">
        <v>4251</v>
      </c>
      <c r="B2035" s="3" t="s">
        <v>4252</v>
      </c>
      <c r="C2035" s="3" t="s">
        <v>88</v>
      </c>
      <c r="D2035" s="3" t="s">
        <v>1110</v>
      </c>
      <c r="E2035" s="3" t="s">
        <v>1111</v>
      </c>
      <c r="F2035" t="e">
        <f>_xlfn.XLOOKUP(A2035,[1]邦达数据库!$A:$A,[1]邦达数据库!$C:$C)</f>
        <v>#N/A</v>
      </c>
    </row>
    <row r="2036" ht="30" customHeight="1" spans="1:6">
      <c r="A2036" s="4" t="s">
        <v>4253</v>
      </c>
      <c r="B2036" s="5" t="s">
        <v>4252</v>
      </c>
      <c r="C2036" s="5" t="s">
        <v>88</v>
      </c>
      <c r="D2036" s="5" t="s">
        <v>217</v>
      </c>
      <c r="E2036" s="5" t="s">
        <v>218</v>
      </c>
      <c r="F2036" t="e">
        <f>_xlfn.XLOOKUP(A2036,[1]邦达数据库!$A:$A,[1]邦达数据库!$C:$C)</f>
        <v>#N/A</v>
      </c>
    </row>
    <row r="2037" ht="30" customHeight="1" spans="1:6">
      <c r="A2037" s="2" t="s">
        <v>4254</v>
      </c>
      <c r="B2037" s="3" t="s">
        <v>4252</v>
      </c>
      <c r="C2037" s="3" t="s">
        <v>88</v>
      </c>
      <c r="D2037" s="3" t="s">
        <v>79</v>
      </c>
      <c r="E2037" s="3" t="s">
        <v>80</v>
      </c>
      <c r="F2037" t="e">
        <f>_xlfn.XLOOKUP(A2037,[1]邦达数据库!$A:$A,[1]邦达数据库!$C:$C)</f>
        <v>#N/A</v>
      </c>
    </row>
    <row r="2038" ht="30" customHeight="1" spans="1:6">
      <c r="A2038" s="4" t="s">
        <v>4255</v>
      </c>
      <c r="B2038" s="5" t="s">
        <v>3406</v>
      </c>
      <c r="C2038" s="5" t="s">
        <v>827</v>
      </c>
      <c r="D2038" s="5" t="s">
        <v>99</v>
      </c>
      <c r="E2038" s="5" t="s">
        <v>100</v>
      </c>
      <c r="F2038" t="e">
        <f>_xlfn.XLOOKUP(A2038,[1]邦达数据库!$A:$A,[1]邦达数据库!$C:$C)</f>
        <v>#N/A</v>
      </c>
    </row>
    <row r="2039" ht="30" customHeight="1" spans="1:6">
      <c r="A2039" s="2" t="s">
        <v>4256</v>
      </c>
      <c r="B2039" s="3" t="s">
        <v>4257</v>
      </c>
      <c r="C2039" s="3" t="s">
        <v>3208</v>
      </c>
      <c r="D2039" s="3" t="s">
        <v>1219</v>
      </c>
      <c r="E2039" s="3" t="s">
        <v>1220</v>
      </c>
      <c r="F2039" t="e">
        <f>_xlfn.XLOOKUP(A2039,[1]邦达数据库!$A:$A,[1]邦达数据库!$C:$C)</f>
        <v>#N/A</v>
      </c>
    </row>
    <row r="2040" ht="30" customHeight="1" spans="1:6">
      <c r="A2040" s="4" t="s">
        <v>4258</v>
      </c>
      <c r="B2040" s="5" t="s">
        <v>4259</v>
      </c>
      <c r="C2040" s="5" t="s">
        <v>2730</v>
      </c>
      <c r="D2040" s="5" t="s">
        <v>250</v>
      </c>
      <c r="E2040" s="5" t="s">
        <v>251</v>
      </c>
      <c r="F2040" t="e">
        <f>_xlfn.XLOOKUP(A2040,[1]邦达数据库!$A:$A,[1]邦达数据库!$C:$C)</f>
        <v>#N/A</v>
      </c>
    </row>
    <row r="2041" ht="30" customHeight="1" spans="1:6">
      <c r="A2041" s="2" t="s">
        <v>4260</v>
      </c>
      <c r="B2041" s="3" t="s">
        <v>4261</v>
      </c>
      <c r="C2041" s="3" t="s">
        <v>4262</v>
      </c>
      <c r="D2041" s="3" t="s">
        <v>1219</v>
      </c>
      <c r="E2041" s="3" t="s">
        <v>1220</v>
      </c>
      <c r="F2041" t="e">
        <f>_xlfn.XLOOKUP(A2041,[1]邦达数据库!$A:$A,[1]邦达数据库!$C:$C)</f>
        <v>#N/A</v>
      </c>
    </row>
    <row r="2042" ht="30" customHeight="1" spans="1:6">
      <c r="A2042" s="4" t="s">
        <v>4263</v>
      </c>
      <c r="B2042" s="5" t="s">
        <v>2826</v>
      </c>
      <c r="C2042" s="5" t="s">
        <v>4264</v>
      </c>
      <c r="D2042" s="5" t="s">
        <v>604</v>
      </c>
      <c r="E2042" s="5" t="s">
        <v>605</v>
      </c>
      <c r="F2042" t="e">
        <f>_xlfn.XLOOKUP(A2042,[1]邦达数据库!$A:$A,[1]邦达数据库!$C:$C)</f>
        <v>#N/A</v>
      </c>
    </row>
    <row r="2043" ht="30" customHeight="1" spans="1:6">
      <c r="A2043" s="2" t="s">
        <v>4265</v>
      </c>
      <c r="B2043" s="3" t="s">
        <v>2826</v>
      </c>
      <c r="C2043" s="3" t="s">
        <v>4264</v>
      </c>
      <c r="D2043" s="3" t="s">
        <v>604</v>
      </c>
      <c r="E2043" s="3" t="s">
        <v>605</v>
      </c>
      <c r="F2043" t="e">
        <f>_xlfn.XLOOKUP(A2043,[1]邦达数据库!$A:$A,[1]邦达数据库!$C:$C)</f>
        <v>#N/A</v>
      </c>
    </row>
    <row r="2044" ht="30" customHeight="1" spans="1:6">
      <c r="A2044" s="4" t="s">
        <v>4266</v>
      </c>
      <c r="B2044" s="5" t="s">
        <v>3698</v>
      </c>
      <c r="C2044" s="5" t="s">
        <v>1115</v>
      </c>
      <c r="D2044" s="5" t="s">
        <v>64</v>
      </c>
      <c r="E2044" s="5" t="s">
        <v>65</v>
      </c>
      <c r="F2044" t="e">
        <f>_xlfn.XLOOKUP(A2044,[1]邦达数据库!$A:$A,[1]邦达数据库!$C:$C)</f>
        <v>#N/A</v>
      </c>
    </row>
    <row r="2045" ht="30" customHeight="1" spans="1:6">
      <c r="A2045" s="2" t="s">
        <v>4267</v>
      </c>
      <c r="B2045" s="3" t="s">
        <v>3698</v>
      </c>
      <c r="C2045" s="3" t="s">
        <v>4268</v>
      </c>
      <c r="D2045" s="3" t="s">
        <v>4269</v>
      </c>
      <c r="E2045" s="3" t="s">
        <v>4270</v>
      </c>
      <c r="F2045" t="e">
        <f>_xlfn.XLOOKUP(A2045,[1]邦达数据库!$A:$A,[1]邦达数据库!$C:$C)</f>
        <v>#N/A</v>
      </c>
    </row>
    <row r="2046" ht="30" customHeight="1" spans="1:6">
      <c r="A2046" s="4" t="s">
        <v>4271</v>
      </c>
      <c r="B2046" s="5" t="s">
        <v>3698</v>
      </c>
      <c r="C2046" s="5" t="s">
        <v>4268</v>
      </c>
      <c r="D2046" s="5" t="s">
        <v>4272</v>
      </c>
      <c r="E2046" s="5" t="s">
        <v>4273</v>
      </c>
      <c r="F2046" t="e">
        <f>_xlfn.XLOOKUP(A2046,[1]邦达数据库!$A:$A,[1]邦达数据库!$C:$C)</f>
        <v>#N/A</v>
      </c>
    </row>
    <row r="2047" ht="30" customHeight="1" spans="1:6">
      <c r="A2047" s="2" t="s">
        <v>4274</v>
      </c>
      <c r="B2047" s="3" t="s">
        <v>3698</v>
      </c>
      <c r="C2047" s="3" t="s">
        <v>4268</v>
      </c>
      <c r="D2047" s="3" t="s">
        <v>4275</v>
      </c>
      <c r="E2047" s="3" t="s">
        <v>4276</v>
      </c>
      <c r="F2047" t="e">
        <f>_xlfn.XLOOKUP(A2047,[1]邦达数据库!$A:$A,[1]邦达数据库!$C:$C)</f>
        <v>#N/A</v>
      </c>
    </row>
    <row r="2048" ht="30" customHeight="1" spans="1:6">
      <c r="A2048" s="4" t="s">
        <v>4277</v>
      </c>
      <c r="B2048" s="5" t="s">
        <v>3698</v>
      </c>
      <c r="C2048" s="5" t="s">
        <v>4268</v>
      </c>
      <c r="D2048" s="5" t="s">
        <v>4278</v>
      </c>
      <c r="E2048" s="5" t="s">
        <v>4279</v>
      </c>
      <c r="F2048" t="e">
        <f>_xlfn.XLOOKUP(A2048,[1]邦达数据库!$A:$A,[1]邦达数据库!$C:$C)</f>
        <v>#N/A</v>
      </c>
    </row>
    <row r="2049" ht="30" customHeight="1" spans="1:6">
      <c r="A2049" s="2" t="s">
        <v>4280</v>
      </c>
      <c r="B2049" s="3" t="s">
        <v>3698</v>
      </c>
      <c r="C2049" s="3" t="s">
        <v>4268</v>
      </c>
      <c r="D2049" s="3" t="s">
        <v>4281</v>
      </c>
      <c r="E2049" s="3" t="s">
        <v>4282</v>
      </c>
      <c r="F2049" t="e">
        <f>_xlfn.XLOOKUP(A2049,[1]邦达数据库!$A:$A,[1]邦达数据库!$C:$C)</f>
        <v>#N/A</v>
      </c>
    </row>
    <row r="2050" ht="30" customHeight="1" spans="1:6">
      <c r="A2050" s="4" t="s">
        <v>4283</v>
      </c>
      <c r="B2050" s="5" t="s">
        <v>4284</v>
      </c>
      <c r="C2050" s="5" t="s">
        <v>305</v>
      </c>
      <c r="D2050" s="5" t="s">
        <v>1000</v>
      </c>
      <c r="E2050" s="5" t="s">
        <v>1001</v>
      </c>
      <c r="F2050" t="e">
        <f>_xlfn.XLOOKUP(A2050,[1]邦达数据库!$A:$A,[1]邦达数据库!$C:$C)</f>
        <v>#N/A</v>
      </c>
    </row>
    <row r="2051" ht="30" customHeight="1" spans="1:6">
      <c r="A2051" s="2" t="s">
        <v>4285</v>
      </c>
      <c r="B2051" s="3" t="s">
        <v>1096</v>
      </c>
      <c r="C2051" s="3" t="s">
        <v>3045</v>
      </c>
      <c r="D2051" s="3" t="s">
        <v>223</v>
      </c>
      <c r="E2051" s="3" t="s">
        <v>224</v>
      </c>
      <c r="F2051" t="e">
        <f>_xlfn.XLOOKUP(A2051,[1]邦达数据库!$A:$A,[1]邦达数据库!$C:$C)</f>
        <v>#N/A</v>
      </c>
    </row>
    <row r="2052" ht="30" customHeight="1" spans="1:6">
      <c r="A2052" s="4" t="s">
        <v>4286</v>
      </c>
      <c r="B2052" s="5" t="s">
        <v>4287</v>
      </c>
      <c r="C2052" s="5" t="s">
        <v>3473</v>
      </c>
      <c r="D2052" s="5" t="s">
        <v>604</v>
      </c>
      <c r="E2052" s="5" t="s">
        <v>605</v>
      </c>
      <c r="F2052" t="e">
        <f>_xlfn.XLOOKUP(A2052,[1]邦达数据库!$A:$A,[1]邦达数据库!$C:$C)</f>
        <v>#N/A</v>
      </c>
    </row>
    <row r="2053" ht="30" customHeight="1" spans="1:6">
      <c r="A2053" s="2" t="s">
        <v>4288</v>
      </c>
      <c r="B2053" s="3" t="s">
        <v>4287</v>
      </c>
      <c r="C2053" s="3" t="s">
        <v>3473</v>
      </c>
      <c r="D2053" s="3" t="s">
        <v>181</v>
      </c>
      <c r="E2053" s="3" t="s">
        <v>182</v>
      </c>
      <c r="F2053" t="e">
        <f>_xlfn.XLOOKUP(A2053,[1]邦达数据库!$A:$A,[1]邦达数据库!$C:$C)</f>
        <v>#N/A</v>
      </c>
    </row>
    <row r="2054" ht="30" customHeight="1" spans="1:6">
      <c r="A2054" s="4" t="s">
        <v>4289</v>
      </c>
      <c r="B2054" s="5" t="s">
        <v>4290</v>
      </c>
      <c r="C2054" s="5" t="s">
        <v>3473</v>
      </c>
      <c r="D2054" s="5" t="s">
        <v>604</v>
      </c>
      <c r="E2054" s="5" t="s">
        <v>605</v>
      </c>
      <c r="F2054" t="e">
        <f>_xlfn.XLOOKUP(A2054,[1]邦达数据库!$A:$A,[1]邦达数据库!$C:$C)</f>
        <v>#N/A</v>
      </c>
    </row>
    <row r="2055" ht="30" customHeight="1" spans="1:6">
      <c r="A2055" s="4" t="s">
        <v>4291</v>
      </c>
      <c r="B2055" s="5" t="s">
        <v>4292</v>
      </c>
      <c r="C2055" s="5" t="s">
        <v>597</v>
      </c>
      <c r="D2055" s="5" t="s">
        <v>4293</v>
      </c>
      <c r="E2055" s="5" t="s">
        <v>4294</v>
      </c>
      <c r="F2055" t="e">
        <f>_xlfn.XLOOKUP(A2055,[1]邦达数据库!$A:$A,[1]邦达数据库!$C:$C)</f>
        <v>#N/A</v>
      </c>
    </row>
    <row r="2056" ht="30" customHeight="1" spans="1:6">
      <c r="A2056" s="2" t="s">
        <v>4295</v>
      </c>
      <c r="B2056" s="3" t="s">
        <v>4292</v>
      </c>
      <c r="C2056" s="3" t="s">
        <v>597</v>
      </c>
      <c r="D2056" s="3" t="s">
        <v>1100</v>
      </c>
      <c r="E2056" s="3" t="s">
        <v>1101</v>
      </c>
      <c r="F2056" t="e">
        <f>_xlfn.XLOOKUP(A2056,[1]邦达数据库!$A:$A,[1]邦达数据库!$C:$C)</f>
        <v>#N/A</v>
      </c>
    </row>
    <row r="2057" ht="30" customHeight="1" spans="1:6">
      <c r="A2057" s="4" t="s">
        <v>4296</v>
      </c>
      <c r="B2057" s="5" t="s">
        <v>4292</v>
      </c>
      <c r="C2057" s="5" t="s">
        <v>597</v>
      </c>
      <c r="D2057" s="5" t="s">
        <v>4297</v>
      </c>
      <c r="E2057" s="5" t="s">
        <v>4298</v>
      </c>
      <c r="F2057" t="e">
        <f>_xlfn.XLOOKUP(A2057,[1]邦达数据库!$A:$A,[1]邦达数据库!$C:$C)</f>
        <v>#N/A</v>
      </c>
    </row>
    <row r="2058" ht="30" customHeight="1" spans="1:6">
      <c r="A2058" s="2" t="s">
        <v>4299</v>
      </c>
      <c r="B2058" s="3" t="s">
        <v>3051</v>
      </c>
      <c r="C2058" s="3" t="s">
        <v>4300</v>
      </c>
      <c r="D2058" s="3" t="s">
        <v>1341</v>
      </c>
      <c r="E2058" s="3" t="s">
        <v>1342</v>
      </c>
      <c r="F2058" t="e">
        <f>_xlfn.XLOOKUP(A2058,[1]邦达数据库!$A:$A,[1]邦达数据库!$C:$C)</f>
        <v>#N/A</v>
      </c>
    </row>
    <row r="2059" ht="30" customHeight="1" spans="1:6">
      <c r="A2059" s="4" t="s">
        <v>4301</v>
      </c>
      <c r="B2059" s="5" t="s">
        <v>3051</v>
      </c>
      <c r="C2059" s="5" t="s">
        <v>1065</v>
      </c>
      <c r="D2059" s="5" t="s">
        <v>64</v>
      </c>
      <c r="E2059" s="5" t="s">
        <v>65</v>
      </c>
      <c r="F2059" t="e">
        <f>_xlfn.XLOOKUP(A2059,[1]邦达数据库!$A:$A,[1]邦达数据库!$C:$C)</f>
        <v>#N/A</v>
      </c>
    </row>
    <row r="2060" ht="30" customHeight="1" spans="1:6">
      <c r="A2060" s="2" t="s">
        <v>4302</v>
      </c>
      <c r="B2060" s="3" t="s">
        <v>3051</v>
      </c>
      <c r="C2060" s="3" t="s">
        <v>1065</v>
      </c>
      <c r="D2060" s="3" t="s">
        <v>64</v>
      </c>
      <c r="E2060" s="3" t="s">
        <v>65</v>
      </c>
      <c r="F2060" t="e">
        <f>_xlfn.XLOOKUP(A2060,[1]邦达数据库!$A:$A,[1]邦达数据库!$C:$C)</f>
        <v>#N/A</v>
      </c>
    </row>
    <row r="2061" ht="30" customHeight="1" spans="1:6">
      <c r="A2061" s="4" t="s">
        <v>4303</v>
      </c>
      <c r="B2061" s="5" t="s">
        <v>3051</v>
      </c>
      <c r="C2061" s="5" t="s">
        <v>1065</v>
      </c>
      <c r="D2061" s="5" t="s">
        <v>3052</v>
      </c>
      <c r="E2061" s="5" t="s">
        <v>3053</v>
      </c>
      <c r="F2061" t="e">
        <f>_xlfn.XLOOKUP(A2061,[1]邦达数据库!$A:$A,[1]邦达数据库!$C:$C)</f>
        <v>#N/A</v>
      </c>
    </row>
    <row r="2062" ht="30" customHeight="1" spans="1:6">
      <c r="A2062" s="2" t="s">
        <v>4304</v>
      </c>
      <c r="B2062" s="3" t="s">
        <v>3051</v>
      </c>
      <c r="C2062" s="3" t="s">
        <v>1065</v>
      </c>
      <c r="D2062" s="3" t="s">
        <v>3052</v>
      </c>
      <c r="E2062" s="3" t="s">
        <v>3053</v>
      </c>
      <c r="F2062" t="e">
        <f>_xlfn.XLOOKUP(A2062,[1]邦达数据库!$A:$A,[1]邦达数据库!$C:$C)</f>
        <v>#N/A</v>
      </c>
    </row>
    <row r="2063" ht="30" customHeight="1" spans="1:6">
      <c r="A2063" s="4" t="s">
        <v>4305</v>
      </c>
      <c r="B2063" s="5" t="s">
        <v>3359</v>
      </c>
      <c r="C2063" s="5" t="s">
        <v>1065</v>
      </c>
      <c r="D2063" s="5" t="s">
        <v>1116</v>
      </c>
      <c r="E2063" s="5" t="s">
        <v>1117</v>
      </c>
      <c r="F2063" t="e">
        <f>_xlfn.XLOOKUP(A2063,[1]邦达数据库!$A:$A,[1]邦达数据库!$C:$C)</f>
        <v>#N/A</v>
      </c>
    </row>
    <row r="2064" ht="30" customHeight="1" spans="1:6">
      <c r="A2064" s="2" t="s">
        <v>4306</v>
      </c>
      <c r="B2064" s="3" t="s">
        <v>3359</v>
      </c>
      <c r="C2064" s="3" t="s">
        <v>1065</v>
      </c>
      <c r="D2064" s="3" t="s">
        <v>64</v>
      </c>
      <c r="E2064" s="3" t="s">
        <v>65</v>
      </c>
      <c r="F2064" t="e">
        <f>_xlfn.XLOOKUP(A2064,[1]邦达数据库!$A:$A,[1]邦达数据库!$C:$C)</f>
        <v>#N/A</v>
      </c>
    </row>
    <row r="2065" ht="30" customHeight="1" spans="1:6">
      <c r="A2065" s="2" t="s">
        <v>4307</v>
      </c>
      <c r="B2065" s="3" t="s">
        <v>3582</v>
      </c>
      <c r="C2065" s="3" t="s">
        <v>4308</v>
      </c>
      <c r="D2065" s="3" t="s">
        <v>4309</v>
      </c>
      <c r="E2065" s="3" t="s">
        <v>4310</v>
      </c>
      <c r="F2065" t="e">
        <f>_xlfn.XLOOKUP(A2065,[1]邦达数据库!$A:$A,[1]邦达数据库!$C:$C)</f>
        <v>#N/A</v>
      </c>
    </row>
    <row r="2066" ht="30" customHeight="1" spans="1:6">
      <c r="A2066" s="4" t="s">
        <v>4311</v>
      </c>
      <c r="B2066" s="5" t="s">
        <v>4312</v>
      </c>
      <c r="C2066" s="5" t="s">
        <v>3353</v>
      </c>
      <c r="D2066" s="5" t="s">
        <v>1356</v>
      </c>
      <c r="E2066" s="5" t="s">
        <v>1357</v>
      </c>
      <c r="F2066" t="e">
        <f>_xlfn.XLOOKUP(A2066,[1]邦达数据库!$A:$A,[1]邦达数据库!$C:$C)</f>
        <v>#N/A</v>
      </c>
    </row>
    <row r="2067" ht="30" customHeight="1" spans="1:6">
      <c r="A2067" s="2" t="s">
        <v>4313</v>
      </c>
      <c r="B2067" s="3" t="s">
        <v>4312</v>
      </c>
      <c r="C2067" s="3" t="s">
        <v>4314</v>
      </c>
      <c r="D2067" s="3" t="s">
        <v>2210</v>
      </c>
      <c r="E2067" s="3" t="s">
        <v>2211</v>
      </c>
      <c r="F2067" t="e">
        <f>_xlfn.XLOOKUP(A2067,[1]邦达数据库!$A:$A,[1]邦达数据库!$C:$C)</f>
        <v>#N/A</v>
      </c>
    </row>
    <row r="2068" ht="30" customHeight="1" spans="1:6">
      <c r="A2068" s="4" t="s">
        <v>4315</v>
      </c>
      <c r="B2068" s="5" t="s">
        <v>4312</v>
      </c>
      <c r="C2068" s="5" t="s">
        <v>3353</v>
      </c>
      <c r="D2068" s="5" t="s">
        <v>1356</v>
      </c>
      <c r="E2068" s="5" t="s">
        <v>1357</v>
      </c>
      <c r="F2068" t="e">
        <f>_xlfn.XLOOKUP(A2068,[1]邦达数据库!$A:$A,[1]邦达数据库!$C:$C)</f>
        <v>#N/A</v>
      </c>
    </row>
    <row r="2069" ht="30" customHeight="1" spans="1:6">
      <c r="A2069" s="2" t="s">
        <v>4316</v>
      </c>
      <c r="B2069" s="3" t="s">
        <v>4317</v>
      </c>
      <c r="C2069" s="3" t="s">
        <v>725</v>
      </c>
      <c r="D2069" s="3" t="s">
        <v>140</v>
      </c>
      <c r="E2069" s="3" t="s">
        <v>141</v>
      </c>
      <c r="F2069" t="e">
        <f>_xlfn.XLOOKUP(A2069,[1]邦达数据库!$A:$A,[1]邦达数据库!$C:$C)</f>
        <v>#N/A</v>
      </c>
    </row>
    <row r="2070" ht="30" customHeight="1" spans="1:6">
      <c r="A2070" s="4" t="s">
        <v>4318</v>
      </c>
      <c r="B2070" s="5" t="s">
        <v>4319</v>
      </c>
      <c r="C2070" s="5" t="s">
        <v>798</v>
      </c>
      <c r="D2070" s="5" t="s">
        <v>149</v>
      </c>
      <c r="E2070" s="5" t="s">
        <v>150</v>
      </c>
      <c r="F2070" t="e">
        <f>_xlfn.XLOOKUP(A2070,[1]邦达数据库!$A:$A,[1]邦达数据库!$C:$C)</f>
        <v>#N/A</v>
      </c>
    </row>
    <row r="2071" ht="30" customHeight="1" spans="1:6">
      <c r="A2071" s="2" t="s">
        <v>4320</v>
      </c>
      <c r="B2071" s="3" t="s">
        <v>4321</v>
      </c>
      <c r="C2071" s="3" t="s">
        <v>88</v>
      </c>
      <c r="D2071" s="3" t="s">
        <v>524</v>
      </c>
      <c r="E2071" s="3" t="s">
        <v>525</v>
      </c>
      <c r="F2071" t="e">
        <f>_xlfn.XLOOKUP(A2071,[1]邦达数据库!$A:$A,[1]邦达数据库!$C:$C)</f>
        <v>#N/A</v>
      </c>
    </row>
    <row r="2072" ht="30" customHeight="1" spans="1:6">
      <c r="A2072" s="4" t="s">
        <v>4322</v>
      </c>
      <c r="B2072" s="5" t="s">
        <v>4321</v>
      </c>
      <c r="C2072" s="5" t="s">
        <v>88</v>
      </c>
      <c r="D2072" s="5" t="s">
        <v>524</v>
      </c>
      <c r="E2072" s="5" t="s">
        <v>525</v>
      </c>
      <c r="F2072" t="e">
        <f>_xlfn.XLOOKUP(A2072,[1]邦达数据库!$A:$A,[1]邦达数据库!$C:$C)</f>
        <v>#N/A</v>
      </c>
    </row>
    <row r="2073" ht="30" customHeight="1" spans="1:6">
      <c r="A2073" s="2" t="s">
        <v>4323</v>
      </c>
      <c r="B2073" s="3" t="s">
        <v>4324</v>
      </c>
      <c r="C2073" s="3" t="s">
        <v>88</v>
      </c>
      <c r="D2073" s="3" t="s">
        <v>521</v>
      </c>
      <c r="E2073" s="3" t="s">
        <v>522</v>
      </c>
      <c r="F2073" t="str">
        <f>_xlfn.XLOOKUP(A2073,[1]邦达数据库!$A:$A,[1]邦达数据库!$C:$C)</f>
        <v>7326.90.9890</v>
      </c>
    </row>
    <row r="2074" ht="30" customHeight="1" spans="1:6">
      <c r="A2074" s="4" t="s">
        <v>4325</v>
      </c>
      <c r="B2074" s="5" t="s">
        <v>4324</v>
      </c>
      <c r="C2074" s="5" t="s">
        <v>88</v>
      </c>
      <c r="D2074" s="5" t="s">
        <v>521</v>
      </c>
      <c r="E2074" s="5" t="s">
        <v>522</v>
      </c>
      <c r="F2074" t="str">
        <f>_xlfn.XLOOKUP(A2074,[1]邦达数据库!$A:$A,[1]邦达数据库!$C:$C)</f>
        <v>7326.90.9890</v>
      </c>
    </row>
    <row r="2075" ht="30" customHeight="1" spans="1:6">
      <c r="A2075" s="2" t="s">
        <v>4326</v>
      </c>
      <c r="B2075" s="3" t="s">
        <v>4321</v>
      </c>
      <c r="C2075" s="3" t="s">
        <v>88</v>
      </c>
      <c r="D2075" s="3" t="s">
        <v>524</v>
      </c>
      <c r="E2075" s="3" t="s">
        <v>525</v>
      </c>
      <c r="F2075" t="str">
        <f>_xlfn.XLOOKUP(A2075,[1]邦达数据库!$A:$A,[1]邦达数据库!$C:$C)</f>
        <v>7326.90.9890</v>
      </c>
    </row>
    <row r="2076" ht="30" customHeight="1" spans="1:6">
      <c r="A2076" s="4" t="s">
        <v>4327</v>
      </c>
      <c r="B2076" s="5" t="s">
        <v>4324</v>
      </c>
      <c r="C2076" s="5" t="s">
        <v>88</v>
      </c>
      <c r="D2076" s="5" t="s">
        <v>521</v>
      </c>
      <c r="E2076" s="5" t="s">
        <v>522</v>
      </c>
      <c r="F2076" t="str">
        <f>_xlfn.XLOOKUP(A2076,[1]邦达数据库!$A:$A,[1]邦达数据库!$C:$C)</f>
        <v>7326.90.9890</v>
      </c>
    </row>
    <row r="2077" ht="30" customHeight="1" spans="1:6">
      <c r="A2077" s="2" t="s">
        <v>4328</v>
      </c>
      <c r="B2077" s="3" t="s">
        <v>4329</v>
      </c>
      <c r="C2077" s="3" t="s">
        <v>17</v>
      </c>
      <c r="D2077" s="3" t="s">
        <v>4330</v>
      </c>
      <c r="E2077" s="3" t="s">
        <v>4331</v>
      </c>
      <c r="F2077" t="e">
        <f>_xlfn.XLOOKUP(A2077,[1]邦达数据库!$A:$A,[1]邦达数据库!$C:$C)</f>
        <v>#N/A</v>
      </c>
    </row>
    <row r="2078" ht="30" customHeight="1" spans="1:6">
      <c r="A2078" s="4" t="s">
        <v>4332</v>
      </c>
      <c r="B2078" s="5" t="s">
        <v>4333</v>
      </c>
      <c r="C2078" s="5" t="s">
        <v>4334</v>
      </c>
      <c r="D2078" s="5" t="s">
        <v>421</v>
      </c>
      <c r="E2078" s="5" t="s">
        <v>422</v>
      </c>
      <c r="F2078" t="e">
        <f>_xlfn.XLOOKUP(A2078,[1]邦达数据库!$A:$A,[1]邦达数据库!$C:$C)</f>
        <v>#N/A</v>
      </c>
    </row>
    <row r="2079" ht="30" customHeight="1" spans="1:6">
      <c r="A2079" s="2" t="s">
        <v>4335</v>
      </c>
      <c r="B2079" s="3" t="s">
        <v>4336</v>
      </c>
      <c r="C2079" s="3" t="s">
        <v>1831</v>
      </c>
      <c r="D2079" s="3" t="s">
        <v>561</v>
      </c>
      <c r="E2079" s="3" t="s">
        <v>562</v>
      </c>
      <c r="F2079" t="e">
        <f>_xlfn.XLOOKUP(A2079,[1]邦达数据库!$A:$A,[1]邦达数据库!$C:$C)</f>
        <v>#N/A</v>
      </c>
    </row>
    <row r="2080" ht="30" customHeight="1" spans="1:6">
      <c r="A2080" s="4" t="s">
        <v>4337</v>
      </c>
      <c r="B2080" s="5" t="s">
        <v>4336</v>
      </c>
      <c r="C2080" s="5" t="s">
        <v>1831</v>
      </c>
      <c r="D2080" s="5" t="s">
        <v>561</v>
      </c>
      <c r="E2080" s="5" t="s">
        <v>562</v>
      </c>
      <c r="F2080" t="e">
        <f>_xlfn.XLOOKUP(A2080,[1]邦达数据库!$A:$A,[1]邦达数据库!$C:$C)</f>
        <v>#N/A</v>
      </c>
    </row>
    <row r="2081" ht="30" customHeight="1" spans="1:6">
      <c r="A2081" s="2" t="s">
        <v>4338</v>
      </c>
      <c r="B2081" s="3" t="s">
        <v>4336</v>
      </c>
      <c r="C2081" s="3" t="s">
        <v>1831</v>
      </c>
      <c r="D2081" s="3" t="s">
        <v>558</v>
      </c>
      <c r="E2081" s="3" t="s">
        <v>559</v>
      </c>
      <c r="F2081" t="e">
        <f>_xlfn.XLOOKUP(A2081,[1]邦达数据库!$A:$A,[1]邦达数据库!$C:$C)</f>
        <v>#N/A</v>
      </c>
    </row>
    <row r="2082" ht="30" customHeight="1" spans="1:6">
      <c r="A2082" s="2" t="s">
        <v>4339</v>
      </c>
      <c r="B2082" s="3" t="s">
        <v>4340</v>
      </c>
      <c r="C2082" s="3" t="s">
        <v>4341</v>
      </c>
      <c r="D2082" s="3" t="s">
        <v>4342</v>
      </c>
      <c r="E2082" s="3" t="s">
        <v>4343</v>
      </c>
      <c r="F2082" t="e">
        <f>_xlfn.XLOOKUP(A2082,[1]邦达数据库!$A:$A,[1]邦达数据库!$C:$C)</f>
        <v>#N/A</v>
      </c>
    </row>
    <row r="2083" ht="30" customHeight="1" spans="1:6">
      <c r="A2083" s="4" t="s">
        <v>4344</v>
      </c>
      <c r="B2083" s="5" t="s">
        <v>4345</v>
      </c>
      <c r="C2083" s="5" t="s">
        <v>1467</v>
      </c>
      <c r="D2083" s="5" t="s">
        <v>4346</v>
      </c>
      <c r="E2083" s="5" t="s">
        <v>4347</v>
      </c>
      <c r="F2083" t="e">
        <f>_xlfn.XLOOKUP(A2083,[1]邦达数据库!$A:$A,[1]邦达数据库!$C:$C)</f>
        <v>#N/A</v>
      </c>
    </row>
    <row r="2084" ht="30" customHeight="1" spans="1:6">
      <c r="A2084" s="2" t="s">
        <v>4348</v>
      </c>
      <c r="B2084" s="3" t="s">
        <v>4345</v>
      </c>
      <c r="C2084" s="3" t="s">
        <v>1467</v>
      </c>
      <c r="D2084" s="3" t="s">
        <v>140</v>
      </c>
      <c r="E2084" s="3" t="s">
        <v>141</v>
      </c>
      <c r="F2084" t="e">
        <f>_xlfn.XLOOKUP(A2084,[1]邦达数据库!$A:$A,[1]邦达数据库!$C:$C)</f>
        <v>#N/A</v>
      </c>
    </row>
    <row r="2085" ht="30" customHeight="1" spans="1:6">
      <c r="A2085" s="4" t="s">
        <v>4349</v>
      </c>
      <c r="B2085" s="5" t="s">
        <v>4350</v>
      </c>
      <c r="C2085" s="5" t="s">
        <v>265</v>
      </c>
      <c r="D2085" s="5" t="s">
        <v>33</v>
      </c>
      <c r="E2085" s="5" t="s">
        <v>34</v>
      </c>
      <c r="F2085" t="e">
        <f>_xlfn.XLOOKUP(A2085,[1]邦达数据库!$A:$A,[1]邦达数据库!$C:$C)</f>
        <v>#N/A</v>
      </c>
    </row>
    <row r="2086" ht="30" customHeight="1" spans="1:6">
      <c r="A2086" s="2" t="s">
        <v>4351</v>
      </c>
      <c r="B2086" s="3" t="s">
        <v>4352</v>
      </c>
      <c r="C2086" s="3" t="s">
        <v>4353</v>
      </c>
      <c r="D2086" s="3" t="s">
        <v>482</v>
      </c>
      <c r="E2086" s="3" t="s">
        <v>483</v>
      </c>
      <c r="F2086" t="e">
        <f>_xlfn.XLOOKUP(A2086,[1]邦达数据库!$A:$A,[1]邦达数据库!$C:$C)</f>
        <v>#N/A</v>
      </c>
    </row>
    <row r="2087" ht="30" customHeight="1" spans="1:6">
      <c r="A2087" s="4" t="s">
        <v>4354</v>
      </c>
      <c r="B2087" s="5" t="s">
        <v>4249</v>
      </c>
      <c r="C2087" s="5" t="s">
        <v>571</v>
      </c>
      <c r="D2087" s="5" t="s">
        <v>3151</v>
      </c>
      <c r="E2087" s="5" t="s">
        <v>3152</v>
      </c>
      <c r="F2087" t="e">
        <f>_xlfn.XLOOKUP(A2087,[1]邦达数据库!$A:$A,[1]邦达数据库!$C:$C)</f>
        <v>#N/A</v>
      </c>
    </row>
    <row r="2088" ht="30" customHeight="1" spans="1:6">
      <c r="A2088" s="2" t="s">
        <v>4355</v>
      </c>
      <c r="B2088" s="3" t="s">
        <v>4356</v>
      </c>
      <c r="C2088" s="3" t="s">
        <v>4357</v>
      </c>
      <c r="D2088" s="3" t="s">
        <v>794</v>
      </c>
      <c r="E2088" s="3" t="s">
        <v>795</v>
      </c>
      <c r="F2088" t="e">
        <f>_xlfn.XLOOKUP(A2088,[1]邦达数据库!$A:$A,[1]邦达数据库!$C:$C)</f>
        <v>#N/A</v>
      </c>
    </row>
    <row r="2089" ht="30" customHeight="1" spans="1:6">
      <c r="A2089" s="2" t="s">
        <v>4358</v>
      </c>
      <c r="B2089" s="3" t="s">
        <v>4359</v>
      </c>
      <c r="C2089" s="3" t="s">
        <v>4360</v>
      </c>
      <c r="D2089" s="3" t="s">
        <v>4361</v>
      </c>
      <c r="E2089" s="3" t="s">
        <v>4362</v>
      </c>
      <c r="F2089" t="e">
        <f>_xlfn.XLOOKUP(A2089,[1]邦达数据库!$A:$A,[1]邦达数据库!$C:$C)</f>
        <v>#N/A</v>
      </c>
    </row>
    <row r="2090" ht="30" customHeight="1" spans="1:6">
      <c r="A2090" s="4" t="s">
        <v>4363</v>
      </c>
      <c r="B2090" s="5" t="s">
        <v>4364</v>
      </c>
      <c r="C2090" s="5" t="s">
        <v>3150</v>
      </c>
      <c r="D2090" s="5" t="s">
        <v>2344</v>
      </c>
      <c r="E2090" s="5" t="s">
        <v>2345</v>
      </c>
      <c r="F2090" t="e">
        <f>_xlfn.XLOOKUP(A2090,[1]邦达数据库!$A:$A,[1]邦达数据库!$C:$C)</f>
        <v>#N/A</v>
      </c>
    </row>
    <row r="2091" ht="30" customHeight="1" spans="1:6">
      <c r="A2091" s="2" t="s">
        <v>4365</v>
      </c>
      <c r="B2091" s="3" t="s">
        <v>4366</v>
      </c>
      <c r="C2091" s="3" t="s">
        <v>4367</v>
      </c>
      <c r="D2091" s="3" t="s">
        <v>1268</v>
      </c>
      <c r="E2091" s="3" t="s">
        <v>1269</v>
      </c>
      <c r="F2091" t="e">
        <f>_xlfn.XLOOKUP(A2091,[1]邦达数据库!$A:$A,[1]邦达数据库!$C:$C)</f>
        <v>#N/A</v>
      </c>
    </row>
    <row r="2092" ht="30" customHeight="1" spans="1:6">
      <c r="A2092" s="4" t="s">
        <v>4368</v>
      </c>
      <c r="B2092" s="5" t="s">
        <v>1633</v>
      </c>
      <c r="C2092" s="5" t="s">
        <v>270</v>
      </c>
      <c r="D2092" s="5" t="s">
        <v>3829</v>
      </c>
      <c r="E2092" s="5" t="s">
        <v>3830</v>
      </c>
      <c r="F2092" t="e">
        <f>_xlfn.XLOOKUP(A2092,[1]邦达数据库!$A:$A,[1]邦达数据库!$C:$C)</f>
        <v>#N/A</v>
      </c>
    </row>
    <row r="2093" ht="30" customHeight="1" spans="1:6">
      <c r="A2093" s="2" t="s">
        <v>4369</v>
      </c>
      <c r="B2093" s="3" t="s">
        <v>2034</v>
      </c>
      <c r="C2093" s="3" t="s">
        <v>571</v>
      </c>
      <c r="D2093" s="3" t="s">
        <v>217</v>
      </c>
      <c r="E2093" s="3" t="s">
        <v>218</v>
      </c>
      <c r="F2093" t="e">
        <f>_xlfn.XLOOKUP(A2093,[1]邦达数据库!$A:$A,[1]邦达数据库!$C:$C)</f>
        <v>#N/A</v>
      </c>
    </row>
    <row r="2094" ht="30" customHeight="1" spans="1:6">
      <c r="A2094" s="4" t="s">
        <v>4370</v>
      </c>
      <c r="B2094" s="5" t="s">
        <v>731</v>
      </c>
      <c r="C2094" s="5" t="s">
        <v>732</v>
      </c>
      <c r="D2094" s="5" t="s">
        <v>400</v>
      </c>
      <c r="E2094" s="5" t="s">
        <v>401</v>
      </c>
      <c r="F2094" t="e">
        <f>_xlfn.XLOOKUP(A2094,[1]邦达数据库!$A:$A,[1]邦达数据库!$C:$C)</f>
        <v>#N/A</v>
      </c>
    </row>
    <row r="2095" ht="30" customHeight="1" spans="1:6">
      <c r="A2095" s="2" t="s">
        <v>4371</v>
      </c>
      <c r="B2095" s="3" t="s">
        <v>4372</v>
      </c>
      <c r="C2095" s="3" t="s">
        <v>4373</v>
      </c>
      <c r="D2095" s="3" t="s">
        <v>1069</v>
      </c>
      <c r="E2095" s="3" t="s">
        <v>1070</v>
      </c>
      <c r="F2095" t="e">
        <f>_xlfn.XLOOKUP(A2095,[1]邦达数据库!$A:$A,[1]邦达数据库!$C:$C)</f>
        <v>#N/A</v>
      </c>
    </row>
    <row r="2096" ht="30" customHeight="1" spans="1:6">
      <c r="A2096" s="4" t="s">
        <v>4374</v>
      </c>
      <c r="B2096" s="5" t="s">
        <v>4375</v>
      </c>
      <c r="C2096" s="5" t="s">
        <v>4376</v>
      </c>
      <c r="D2096" s="5" t="s">
        <v>4377</v>
      </c>
      <c r="E2096" s="5" t="s">
        <v>4378</v>
      </c>
      <c r="F2096" t="e">
        <f>_xlfn.XLOOKUP(A2096,[1]邦达数据库!$A:$A,[1]邦达数据库!$C:$C)</f>
        <v>#N/A</v>
      </c>
    </row>
    <row r="2097" ht="30" customHeight="1" spans="1:6">
      <c r="A2097" s="2" t="s">
        <v>4379</v>
      </c>
      <c r="B2097" s="3" t="s">
        <v>4380</v>
      </c>
      <c r="C2097" s="3" t="s">
        <v>4376</v>
      </c>
      <c r="D2097" s="3" t="s">
        <v>1076</v>
      </c>
      <c r="E2097" s="3" t="s">
        <v>1077</v>
      </c>
      <c r="F2097" t="e">
        <f>_xlfn.XLOOKUP(A2097,[1]邦达数据库!$A:$A,[1]邦达数据库!$C:$C)</f>
        <v>#N/A</v>
      </c>
    </row>
    <row r="2098" ht="30" customHeight="1" spans="1:6">
      <c r="A2098" s="4" t="s">
        <v>4381</v>
      </c>
      <c r="B2098" s="5" t="s">
        <v>4382</v>
      </c>
      <c r="C2098" s="5" t="s">
        <v>17</v>
      </c>
      <c r="D2098" s="5" t="s">
        <v>2397</v>
      </c>
      <c r="E2098" s="5" t="s">
        <v>2398</v>
      </c>
      <c r="F2098" t="e">
        <f>_xlfn.XLOOKUP(A2098,[1]邦达数据库!$A:$A,[1]邦达数据库!$C:$C)</f>
        <v>#N/A</v>
      </c>
    </row>
    <row r="2099" ht="30" customHeight="1" spans="1:6">
      <c r="A2099" s="2" t="s">
        <v>4383</v>
      </c>
      <c r="B2099" s="3" t="s">
        <v>4382</v>
      </c>
      <c r="C2099" s="3" t="s">
        <v>17</v>
      </c>
      <c r="D2099" s="3" t="s">
        <v>4384</v>
      </c>
      <c r="E2099" s="3" t="s">
        <v>4385</v>
      </c>
      <c r="F2099" t="e">
        <f>_xlfn.XLOOKUP(A2099,[1]邦达数据库!$A:$A,[1]邦达数据库!$C:$C)</f>
        <v>#N/A</v>
      </c>
    </row>
    <row r="2100" ht="30" customHeight="1" spans="1:6">
      <c r="A2100" s="4" t="s">
        <v>4386</v>
      </c>
      <c r="B2100" s="5" t="s">
        <v>4387</v>
      </c>
      <c r="C2100" s="5" t="s">
        <v>4388</v>
      </c>
      <c r="D2100" s="5" t="s">
        <v>149</v>
      </c>
      <c r="E2100" s="5" t="s">
        <v>150</v>
      </c>
      <c r="F2100" t="e">
        <f>_xlfn.XLOOKUP(A2100,[1]邦达数据库!$A:$A,[1]邦达数据库!$C:$C)</f>
        <v>#N/A</v>
      </c>
    </row>
    <row r="2101" ht="30" customHeight="1" spans="1:6">
      <c r="A2101" s="2" t="s">
        <v>4389</v>
      </c>
      <c r="B2101" s="3" t="s">
        <v>4390</v>
      </c>
      <c r="C2101" s="3" t="s">
        <v>17</v>
      </c>
      <c r="D2101" s="3" t="s">
        <v>4391</v>
      </c>
      <c r="E2101" s="3" t="s">
        <v>4392</v>
      </c>
      <c r="F2101" t="e">
        <f>_xlfn.XLOOKUP(A2101,[1]邦达数据库!$A:$A,[1]邦达数据库!$C:$C)</f>
        <v>#N/A</v>
      </c>
    </row>
    <row r="2102" ht="30" customHeight="1" spans="1:6">
      <c r="A2102" s="4" t="s">
        <v>4393</v>
      </c>
      <c r="B2102" s="5" t="s">
        <v>4394</v>
      </c>
      <c r="C2102" s="5" t="s">
        <v>1467</v>
      </c>
      <c r="D2102" s="5" t="s">
        <v>391</v>
      </c>
      <c r="E2102" s="5" t="s">
        <v>392</v>
      </c>
      <c r="F2102" t="e">
        <f>_xlfn.XLOOKUP(A2102,[1]邦达数据库!$A:$A,[1]邦达数据库!$C:$C)</f>
        <v>#N/A</v>
      </c>
    </row>
    <row r="2103" ht="30" customHeight="1" spans="1:6">
      <c r="A2103" s="2" t="s">
        <v>4395</v>
      </c>
      <c r="B2103" s="3" t="s">
        <v>4394</v>
      </c>
      <c r="C2103" s="3" t="s">
        <v>1467</v>
      </c>
      <c r="D2103" s="3" t="s">
        <v>391</v>
      </c>
      <c r="E2103" s="3" t="s">
        <v>392</v>
      </c>
      <c r="F2103" t="e">
        <f>_xlfn.XLOOKUP(A2103,[1]邦达数据库!$A:$A,[1]邦达数据库!$C:$C)</f>
        <v>#N/A</v>
      </c>
    </row>
    <row r="2104" ht="30" customHeight="1" spans="1:6">
      <c r="A2104" s="4" t="s">
        <v>4396</v>
      </c>
      <c r="B2104" s="5" t="s">
        <v>4397</v>
      </c>
      <c r="C2104" s="5" t="s">
        <v>340</v>
      </c>
      <c r="D2104" s="5" t="s">
        <v>1646</v>
      </c>
      <c r="E2104" s="5" t="s">
        <v>1647</v>
      </c>
      <c r="F2104" t="e">
        <f>_xlfn.XLOOKUP(A2104,[1]邦达数据库!$A:$A,[1]邦达数据库!$C:$C)</f>
        <v>#N/A</v>
      </c>
    </row>
    <row r="2105" ht="30" customHeight="1" spans="1:6">
      <c r="A2105" s="2" t="s">
        <v>4398</v>
      </c>
      <c r="B2105" s="3" t="s">
        <v>4399</v>
      </c>
      <c r="C2105" s="3" t="s">
        <v>4400</v>
      </c>
      <c r="D2105" s="3" t="s">
        <v>127</v>
      </c>
      <c r="E2105" s="3" t="s">
        <v>128</v>
      </c>
      <c r="F2105" t="e">
        <f>_xlfn.XLOOKUP(A2105,[1]邦达数据库!$A:$A,[1]邦达数据库!$C:$C)</f>
        <v>#N/A</v>
      </c>
    </row>
    <row r="2106" ht="30" customHeight="1" spans="1:6">
      <c r="A2106" s="4" t="s">
        <v>4401</v>
      </c>
      <c r="B2106" s="5" t="s">
        <v>4402</v>
      </c>
      <c r="C2106" s="5" t="s">
        <v>2555</v>
      </c>
      <c r="D2106" s="5" t="s">
        <v>33</v>
      </c>
      <c r="E2106" s="5" t="s">
        <v>34</v>
      </c>
      <c r="F2106" t="e">
        <f>_xlfn.XLOOKUP(A2106,[1]邦达数据库!$A:$A,[1]邦达数据库!$C:$C)</f>
        <v>#N/A</v>
      </c>
    </row>
    <row r="2107" ht="30" customHeight="1" spans="1:6">
      <c r="A2107" s="2" t="s">
        <v>4403</v>
      </c>
      <c r="B2107" s="3" t="s">
        <v>4404</v>
      </c>
      <c r="C2107" s="3" t="s">
        <v>345</v>
      </c>
      <c r="D2107" s="3" t="s">
        <v>55</v>
      </c>
      <c r="E2107" s="3" t="s">
        <v>56</v>
      </c>
      <c r="F2107" t="e">
        <f>_xlfn.XLOOKUP(A2107,[1]邦达数据库!$A:$A,[1]邦达数据库!$C:$C)</f>
        <v>#N/A</v>
      </c>
    </row>
    <row r="2108" ht="30" customHeight="1" spans="1:6">
      <c r="A2108" s="4" t="s">
        <v>4405</v>
      </c>
      <c r="B2108" s="5" t="s">
        <v>2034</v>
      </c>
      <c r="C2108" s="5" t="s">
        <v>270</v>
      </c>
      <c r="D2108" s="5" t="s">
        <v>992</v>
      </c>
      <c r="E2108" s="5" t="s">
        <v>993</v>
      </c>
      <c r="F2108" t="e">
        <f>_xlfn.XLOOKUP(A2108,[1]邦达数据库!$A:$A,[1]邦达数据库!$C:$C)</f>
        <v>#N/A</v>
      </c>
    </row>
    <row r="2109" ht="30" customHeight="1" spans="1:6">
      <c r="A2109" s="2" t="s">
        <v>4406</v>
      </c>
      <c r="B2109" s="3" t="s">
        <v>2034</v>
      </c>
      <c r="C2109" s="3" t="s">
        <v>4407</v>
      </c>
      <c r="D2109" s="3" t="s">
        <v>4408</v>
      </c>
      <c r="E2109" s="3" t="s">
        <v>4409</v>
      </c>
      <c r="F2109" t="e">
        <f>_xlfn.XLOOKUP(A2109,[1]邦达数据库!$A:$A,[1]邦达数据库!$C:$C)</f>
        <v>#N/A</v>
      </c>
    </row>
    <row r="2110" ht="30" customHeight="1" spans="1:6">
      <c r="A2110" s="4" t="s">
        <v>4410</v>
      </c>
      <c r="B2110" s="5" t="s">
        <v>2034</v>
      </c>
      <c r="C2110" s="5" t="s">
        <v>571</v>
      </c>
      <c r="D2110" s="5" t="s">
        <v>4411</v>
      </c>
      <c r="E2110" s="5" t="s">
        <v>4412</v>
      </c>
      <c r="F2110" t="e">
        <f>_xlfn.XLOOKUP(A2110,[1]邦达数据库!$A:$A,[1]邦达数据库!$C:$C)</f>
        <v>#N/A</v>
      </c>
    </row>
    <row r="2111" ht="30" customHeight="1" spans="1:6">
      <c r="A2111" s="2" t="s">
        <v>4413</v>
      </c>
      <c r="B2111" s="3" t="s">
        <v>2034</v>
      </c>
      <c r="C2111" s="3" t="s">
        <v>571</v>
      </c>
      <c r="D2111" s="3" t="s">
        <v>217</v>
      </c>
      <c r="E2111" s="3" t="s">
        <v>218</v>
      </c>
      <c r="F2111" t="e">
        <f>_xlfn.XLOOKUP(A2111,[1]邦达数据库!$A:$A,[1]邦达数据库!$C:$C)</f>
        <v>#N/A</v>
      </c>
    </row>
    <row r="2112" ht="30" customHeight="1" spans="1:6">
      <c r="A2112" s="4" t="s">
        <v>4414</v>
      </c>
      <c r="B2112" s="5" t="s">
        <v>2034</v>
      </c>
      <c r="C2112" s="5" t="s">
        <v>571</v>
      </c>
      <c r="D2112" s="5" t="s">
        <v>217</v>
      </c>
      <c r="E2112" s="5" t="s">
        <v>218</v>
      </c>
      <c r="F2112" t="e">
        <f>_xlfn.XLOOKUP(A2112,[1]邦达数据库!$A:$A,[1]邦达数据库!$C:$C)</f>
        <v>#N/A</v>
      </c>
    </row>
    <row r="2113" ht="30" customHeight="1" spans="1:6">
      <c r="A2113" s="2" t="s">
        <v>4415</v>
      </c>
      <c r="B2113" s="3" t="s">
        <v>2034</v>
      </c>
      <c r="C2113" s="3" t="s">
        <v>571</v>
      </c>
      <c r="D2113" s="3" t="s">
        <v>217</v>
      </c>
      <c r="E2113" s="3" t="s">
        <v>218</v>
      </c>
      <c r="F2113" t="e">
        <f>_xlfn.XLOOKUP(A2113,[1]邦达数据库!$A:$A,[1]邦达数据库!$C:$C)</f>
        <v>#N/A</v>
      </c>
    </row>
    <row r="2114" ht="30" customHeight="1" spans="1:6">
      <c r="A2114" s="4" t="s">
        <v>4416</v>
      </c>
      <c r="B2114" s="5" t="s">
        <v>2034</v>
      </c>
      <c r="C2114" s="5" t="s">
        <v>571</v>
      </c>
      <c r="D2114" s="5" t="s">
        <v>4417</v>
      </c>
      <c r="E2114" s="5" t="s">
        <v>4418</v>
      </c>
      <c r="F2114" t="e">
        <f>_xlfn.XLOOKUP(A2114,[1]邦达数据库!$A:$A,[1]邦达数据库!$C:$C)</f>
        <v>#N/A</v>
      </c>
    </row>
    <row r="2115" ht="30" customHeight="1" spans="1:6">
      <c r="A2115" s="2" t="s">
        <v>4419</v>
      </c>
      <c r="B2115" s="3" t="s">
        <v>2034</v>
      </c>
      <c r="C2115" s="3" t="s">
        <v>4407</v>
      </c>
      <c r="D2115" s="3" t="s">
        <v>4420</v>
      </c>
      <c r="E2115" s="3" t="s">
        <v>4421</v>
      </c>
      <c r="F2115" t="e">
        <f>_xlfn.XLOOKUP(A2115,[1]邦达数据库!$A:$A,[1]邦达数据库!$C:$C)</f>
        <v>#N/A</v>
      </c>
    </row>
    <row r="2116" ht="30" customHeight="1" spans="1:6">
      <c r="A2116" s="4" t="s">
        <v>4422</v>
      </c>
      <c r="B2116" s="5" t="s">
        <v>2034</v>
      </c>
      <c r="C2116" s="5" t="s">
        <v>571</v>
      </c>
      <c r="D2116" s="5" t="s">
        <v>4423</v>
      </c>
      <c r="E2116" s="5" t="s">
        <v>4424</v>
      </c>
      <c r="F2116" t="e">
        <f>_xlfn.XLOOKUP(A2116,[1]邦达数据库!$A:$A,[1]邦达数据库!$C:$C)</f>
        <v>#N/A</v>
      </c>
    </row>
    <row r="2117" ht="30" customHeight="1" spans="1:6">
      <c r="A2117" s="2" t="s">
        <v>4425</v>
      </c>
      <c r="B2117" s="3" t="s">
        <v>1902</v>
      </c>
      <c r="C2117" s="3" t="s">
        <v>17</v>
      </c>
      <c r="D2117" s="3" t="s">
        <v>360</v>
      </c>
      <c r="E2117" s="3" t="s">
        <v>361</v>
      </c>
      <c r="F2117" t="e">
        <f>_xlfn.XLOOKUP(A2117,[1]邦达数据库!$A:$A,[1]邦达数据库!$C:$C)</f>
        <v>#N/A</v>
      </c>
    </row>
    <row r="2118" ht="30" customHeight="1" spans="1:6">
      <c r="A2118" s="4" t="s">
        <v>4426</v>
      </c>
      <c r="B2118" s="5" t="s">
        <v>4427</v>
      </c>
      <c r="C2118" s="5" t="s">
        <v>226</v>
      </c>
      <c r="D2118" s="5" t="s">
        <v>1219</v>
      </c>
      <c r="E2118" s="5" t="s">
        <v>1220</v>
      </c>
      <c r="F2118" t="e">
        <f>_xlfn.XLOOKUP(A2118,[1]邦达数据库!$A:$A,[1]邦达数据库!$C:$C)</f>
        <v>#N/A</v>
      </c>
    </row>
    <row r="2119" ht="30" customHeight="1" spans="1:6">
      <c r="A2119" s="2" t="s">
        <v>4428</v>
      </c>
      <c r="B2119" s="3" t="s">
        <v>4427</v>
      </c>
      <c r="C2119" s="3" t="s">
        <v>226</v>
      </c>
      <c r="D2119" s="3" t="s">
        <v>1250</v>
      </c>
      <c r="E2119" s="3" t="s">
        <v>1251</v>
      </c>
      <c r="F2119" t="e">
        <f>_xlfn.XLOOKUP(A2119,[1]邦达数据库!$A:$A,[1]邦达数据库!$C:$C)</f>
        <v>#N/A</v>
      </c>
    </row>
    <row r="2120" ht="30" customHeight="1" spans="1:6">
      <c r="A2120" s="4" t="s">
        <v>4429</v>
      </c>
      <c r="B2120" s="5" t="s">
        <v>4427</v>
      </c>
      <c r="C2120" s="5" t="s">
        <v>226</v>
      </c>
      <c r="D2120" s="5" t="s">
        <v>1222</v>
      </c>
      <c r="E2120" s="5" t="s">
        <v>1223</v>
      </c>
      <c r="F2120" t="e">
        <f>_xlfn.XLOOKUP(A2120,[1]邦达数据库!$A:$A,[1]邦达数据库!$C:$C)</f>
        <v>#N/A</v>
      </c>
    </row>
    <row r="2121" ht="30" customHeight="1" spans="1:6">
      <c r="A2121" s="2" t="s">
        <v>4430</v>
      </c>
      <c r="B2121" s="3" t="s">
        <v>4431</v>
      </c>
      <c r="C2121" s="3" t="s">
        <v>4432</v>
      </c>
      <c r="D2121" s="3" t="s">
        <v>33</v>
      </c>
      <c r="E2121" s="3" t="s">
        <v>34</v>
      </c>
      <c r="F2121" t="e">
        <f>_xlfn.XLOOKUP(A2121,[1]邦达数据库!$A:$A,[1]邦达数据库!$C:$C)</f>
        <v>#N/A</v>
      </c>
    </row>
    <row r="2122" ht="30" customHeight="1" spans="1:6">
      <c r="A2122" s="4" t="s">
        <v>4433</v>
      </c>
      <c r="B2122" s="5" t="s">
        <v>4434</v>
      </c>
      <c r="C2122" s="5" t="s">
        <v>4084</v>
      </c>
      <c r="D2122" s="5" t="s">
        <v>1091</v>
      </c>
      <c r="E2122" s="5" t="s">
        <v>1092</v>
      </c>
      <c r="F2122" t="e">
        <f>_xlfn.XLOOKUP(A2122,[1]邦达数据库!$A:$A,[1]邦达数据库!$C:$C)</f>
        <v>#N/A</v>
      </c>
    </row>
    <row r="2123" ht="30" customHeight="1" spans="1:6">
      <c r="A2123" s="2" t="s">
        <v>4435</v>
      </c>
      <c r="B2123" s="3" t="s">
        <v>4434</v>
      </c>
      <c r="C2123" s="3" t="s">
        <v>4084</v>
      </c>
      <c r="D2123" s="3" t="s">
        <v>1091</v>
      </c>
      <c r="E2123" s="3" t="s">
        <v>1092</v>
      </c>
      <c r="F2123" t="e">
        <f>_xlfn.XLOOKUP(A2123,[1]邦达数据库!$A:$A,[1]邦达数据库!$C:$C)</f>
        <v>#N/A</v>
      </c>
    </row>
    <row r="2124" ht="30" customHeight="1" spans="1:6">
      <c r="A2124" s="4" t="s">
        <v>4436</v>
      </c>
      <c r="B2124" s="5" t="s">
        <v>4434</v>
      </c>
      <c r="C2124" s="5" t="s">
        <v>4084</v>
      </c>
      <c r="D2124" s="5" t="s">
        <v>1091</v>
      </c>
      <c r="E2124" s="5" t="s">
        <v>1092</v>
      </c>
      <c r="F2124" t="e">
        <f>_xlfn.XLOOKUP(A2124,[1]邦达数据库!$A:$A,[1]邦达数据库!$C:$C)</f>
        <v>#N/A</v>
      </c>
    </row>
    <row r="2125" ht="30" customHeight="1" spans="1:6">
      <c r="A2125" s="2" t="s">
        <v>4437</v>
      </c>
      <c r="B2125" s="3" t="s">
        <v>4434</v>
      </c>
      <c r="C2125" s="3" t="s">
        <v>4084</v>
      </c>
      <c r="D2125" s="3" t="s">
        <v>1091</v>
      </c>
      <c r="E2125" s="3" t="s">
        <v>1092</v>
      </c>
      <c r="F2125" t="e">
        <f>_xlfn.XLOOKUP(A2125,[1]邦达数据库!$A:$A,[1]邦达数据库!$C:$C)</f>
        <v>#N/A</v>
      </c>
    </row>
    <row r="2126" ht="30" customHeight="1" spans="1:6">
      <c r="A2126" s="4" t="s">
        <v>4438</v>
      </c>
      <c r="B2126" s="5" t="s">
        <v>4434</v>
      </c>
      <c r="C2126" s="5" t="s">
        <v>4084</v>
      </c>
      <c r="D2126" s="5" t="s">
        <v>1091</v>
      </c>
      <c r="E2126" s="5" t="s">
        <v>1092</v>
      </c>
      <c r="F2126" t="e">
        <f>_xlfn.XLOOKUP(A2126,[1]邦达数据库!$A:$A,[1]邦达数据库!$C:$C)</f>
        <v>#N/A</v>
      </c>
    </row>
    <row r="2127" ht="30" customHeight="1" spans="1:6">
      <c r="A2127" s="2" t="s">
        <v>4439</v>
      </c>
      <c r="B2127" s="3" t="s">
        <v>4434</v>
      </c>
      <c r="C2127" s="3" t="s">
        <v>4084</v>
      </c>
      <c r="D2127" s="3" t="s">
        <v>1091</v>
      </c>
      <c r="E2127" s="3" t="s">
        <v>1092</v>
      </c>
      <c r="F2127" t="e">
        <f>_xlfn.XLOOKUP(A2127,[1]邦达数据库!$A:$A,[1]邦达数据库!$C:$C)</f>
        <v>#N/A</v>
      </c>
    </row>
    <row r="2128" ht="30" customHeight="1" spans="1:6">
      <c r="A2128" s="4" t="s">
        <v>4440</v>
      </c>
      <c r="B2128" s="5" t="s">
        <v>4434</v>
      </c>
      <c r="C2128" s="5" t="s">
        <v>4084</v>
      </c>
      <c r="D2128" s="5" t="s">
        <v>1091</v>
      </c>
      <c r="E2128" s="5" t="s">
        <v>1092</v>
      </c>
      <c r="F2128" t="e">
        <f>_xlfn.XLOOKUP(A2128,[1]邦达数据库!$A:$A,[1]邦达数据库!$C:$C)</f>
        <v>#N/A</v>
      </c>
    </row>
    <row r="2129" ht="30" customHeight="1" spans="1:6">
      <c r="A2129" s="2" t="s">
        <v>4441</v>
      </c>
      <c r="B2129" s="3" t="s">
        <v>4434</v>
      </c>
      <c r="C2129" s="3" t="s">
        <v>4084</v>
      </c>
      <c r="D2129" s="3" t="s">
        <v>1091</v>
      </c>
      <c r="E2129" s="3" t="s">
        <v>1092</v>
      </c>
      <c r="F2129" t="e">
        <f>_xlfn.XLOOKUP(A2129,[1]邦达数据库!$A:$A,[1]邦达数据库!$C:$C)</f>
        <v>#N/A</v>
      </c>
    </row>
    <row r="2130" ht="30" customHeight="1" spans="1:6">
      <c r="A2130" s="4" t="s">
        <v>4442</v>
      </c>
      <c r="B2130" s="5" t="s">
        <v>4434</v>
      </c>
      <c r="C2130" s="5" t="s">
        <v>4084</v>
      </c>
      <c r="D2130" s="5" t="s">
        <v>1091</v>
      </c>
      <c r="E2130" s="5" t="s">
        <v>1092</v>
      </c>
      <c r="F2130" t="e">
        <f>_xlfn.XLOOKUP(A2130,[1]邦达数据库!$A:$A,[1]邦达数据库!$C:$C)</f>
        <v>#N/A</v>
      </c>
    </row>
    <row r="2131" ht="30" customHeight="1" spans="1:6">
      <c r="A2131" s="2" t="s">
        <v>4443</v>
      </c>
      <c r="B2131" s="3" t="s">
        <v>3980</v>
      </c>
      <c r="C2131" s="3" t="s">
        <v>63</v>
      </c>
      <c r="D2131" s="3" t="s">
        <v>4444</v>
      </c>
      <c r="E2131" s="3" t="s">
        <v>4445</v>
      </c>
      <c r="F2131" t="e">
        <f>_xlfn.XLOOKUP(A2131,[1]邦达数据库!$A:$A,[1]邦达数据库!$C:$C)</f>
        <v>#N/A</v>
      </c>
    </row>
    <row r="2132" ht="30" customHeight="1" spans="1:6">
      <c r="A2132" s="4" t="s">
        <v>4446</v>
      </c>
      <c r="B2132" s="5" t="s">
        <v>3980</v>
      </c>
      <c r="C2132" s="5" t="s">
        <v>63</v>
      </c>
      <c r="D2132" s="5" t="s">
        <v>518</v>
      </c>
      <c r="E2132" s="5" t="s">
        <v>519</v>
      </c>
      <c r="F2132" t="e">
        <f>_xlfn.XLOOKUP(A2132,[1]邦达数据库!$A:$A,[1]邦达数据库!$C:$C)</f>
        <v>#N/A</v>
      </c>
    </row>
    <row r="2133" ht="30" customHeight="1" spans="1:6">
      <c r="A2133" s="2" t="s">
        <v>4447</v>
      </c>
      <c r="B2133" s="3" t="s">
        <v>4448</v>
      </c>
      <c r="C2133" s="3" t="s">
        <v>4360</v>
      </c>
      <c r="D2133" s="3" t="s">
        <v>1356</v>
      </c>
      <c r="E2133" s="3" t="s">
        <v>1357</v>
      </c>
      <c r="F2133" t="e">
        <f>_xlfn.XLOOKUP(A2133,[1]邦达数据库!$A:$A,[1]邦达数据库!$C:$C)</f>
        <v>#N/A</v>
      </c>
    </row>
    <row r="2134" ht="30" customHeight="1" spans="1:6">
      <c r="A2134" s="4" t="s">
        <v>4449</v>
      </c>
      <c r="B2134" s="5" t="s">
        <v>4450</v>
      </c>
      <c r="C2134" s="5" t="s">
        <v>1467</v>
      </c>
      <c r="D2134" s="5" t="s">
        <v>1729</v>
      </c>
      <c r="E2134" s="5" t="s">
        <v>1730</v>
      </c>
      <c r="F2134" t="e">
        <f>_xlfn.XLOOKUP(A2134,[1]邦达数据库!$A:$A,[1]邦达数据库!$C:$C)</f>
        <v>#N/A</v>
      </c>
    </row>
    <row r="2135" ht="30" customHeight="1" spans="1:6">
      <c r="A2135" s="2" t="s">
        <v>4451</v>
      </c>
      <c r="B2135" s="3" t="s">
        <v>4450</v>
      </c>
      <c r="C2135" s="3" t="s">
        <v>1467</v>
      </c>
      <c r="D2135" s="3" t="s">
        <v>170</v>
      </c>
      <c r="E2135" s="3" t="s">
        <v>171</v>
      </c>
      <c r="F2135" t="e">
        <f>_xlfn.XLOOKUP(A2135,[1]邦达数据库!$A:$A,[1]邦达数据库!$C:$C)</f>
        <v>#N/A</v>
      </c>
    </row>
    <row r="2136" ht="30" customHeight="1" spans="1:6">
      <c r="A2136" s="4" t="s">
        <v>4452</v>
      </c>
      <c r="B2136" s="5" t="s">
        <v>4453</v>
      </c>
      <c r="C2136" s="5" t="s">
        <v>1183</v>
      </c>
      <c r="D2136" s="5" t="s">
        <v>1729</v>
      </c>
      <c r="E2136" s="5" t="s">
        <v>1730</v>
      </c>
      <c r="F2136" t="e">
        <f>_xlfn.XLOOKUP(A2136,[1]邦达数据库!$A:$A,[1]邦达数据库!$C:$C)</f>
        <v>#N/A</v>
      </c>
    </row>
    <row r="2137" ht="30" customHeight="1" spans="1:6">
      <c r="A2137" s="2" t="s">
        <v>4454</v>
      </c>
      <c r="B2137" s="3" t="s">
        <v>4453</v>
      </c>
      <c r="C2137" s="3" t="s">
        <v>1183</v>
      </c>
      <c r="D2137" s="3" t="s">
        <v>223</v>
      </c>
      <c r="E2137" s="3" t="s">
        <v>224</v>
      </c>
      <c r="F2137" t="e">
        <f>_xlfn.XLOOKUP(A2137,[1]邦达数据库!$A:$A,[1]邦达数据库!$C:$C)</f>
        <v>#N/A</v>
      </c>
    </row>
    <row r="2138" ht="30" customHeight="1" spans="1:6">
      <c r="A2138" s="4" t="s">
        <v>4455</v>
      </c>
      <c r="B2138" s="5" t="s">
        <v>4453</v>
      </c>
      <c r="C2138" s="5" t="s">
        <v>1183</v>
      </c>
      <c r="D2138" s="5" t="s">
        <v>223</v>
      </c>
      <c r="E2138" s="5" t="s">
        <v>224</v>
      </c>
      <c r="F2138" t="e">
        <f>_xlfn.XLOOKUP(A2138,[1]邦达数据库!$A:$A,[1]邦达数据库!$C:$C)</f>
        <v>#N/A</v>
      </c>
    </row>
    <row r="2139" ht="30" customHeight="1" spans="1:6">
      <c r="A2139" s="2" t="s">
        <v>4456</v>
      </c>
      <c r="B2139" s="3" t="s">
        <v>4457</v>
      </c>
      <c r="C2139" s="3" t="s">
        <v>98</v>
      </c>
      <c r="D2139" s="3" t="s">
        <v>2809</v>
      </c>
      <c r="E2139" s="3" t="s">
        <v>2810</v>
      </c>
      <c r="F2139" t="e">
        <f>_xlfn.XLOOKUP(A2139,[1]邦达数据库!$A:$A,[1]邦达数据库!$C:$C)</f>
        <v>#N/A</v>
      </c>
    </row>
    <row r="2140" ht="30" customHeight="1" spans="1:6">
      <c r="A2140" s="4" t="s">
        <v>4458</v>
      </c>
      <c r="B2140" s="5" t="s">
        <v>4457</v>
      </c>
      <c r="C2140" s="5" t="s">
        <v>98</v>
      </c>
      <c r="D2140" s="5" t="s">
        <v>956</v>
      </c>
      <c r="E2140" s="5" t="s">
        <v>957</v>
      </c>
      <c r="F2140" t="e">
        <f>_xlfn.XLOOKUP(A2140,[1]邦达数据库!$A:$A,[1]邦达数据库!$C:$C)</f>
        <v>#N/A</v>
      </c>
    </row>
    <row r="2141" ht="30" customHeight="1" spans="1:6">
      <c r="A2141" s="2" t="s">
        <v>4459</v>
      </c>
      <c r="B2141" s="3" t="s">
        <v>4457</v>
      </c>
      <c r="C2141" s="3" t="s">
        <v>98</v>
      </c>
      <c r="D2141" s="3" t="s">
        <v>2809</v>
      </c>
      <c r="E2141" s="3" t="s">
        <v>2810</v>
      </c>
      <c r="F2141" t="e">
        <f>_xlfn.XLOOKUP(A2141,[1]邦达数据库!$A:$A,[1]邦达数据库!$C:$C)</f>
        <v>#N/A</v>
      </c>
    </row>
    <row r="2142" ht="30" customHeight="1" spans="1:6">
      <c r="A2142" s="4" t="s">
        <v>4460</v>
      </c>
      <c r="B2142" s="5" t="s">
        <v>4457</v>
      </c>
      <c r="C2142" s="5" t="s">
        <v>98</v>
      </c>
      <c r="D2142" s="5" t="s">
        <v>2809</v>
      </c>
      <c r="E2142" s="5" t="s">
        <v>2810</v>
      </c>
      <c r="F2142" t="e">
        <f>_xlfn.XLOOKUP(A2142,[1]邦达数据库!$A:$A,[1]邦达数据库!$C:$C)</f>
        <v>#N/A</v>
      </c>
    </row>
    <row r="2143" ht="30" customHeight="1" spans="1:6">
      <c r="A2143" s="2" t="s">
        <v>4461</v>
      </c>
      <c r="B2143" s="3" t="s">
        <v>4457</v>
      </c>
      <c r="C2143" s="3" t="s">
        <v>98</v>
      </c>
      <c r="D2143" s="3" t="s">
        <v>956</v>
      </c>
      <c r="E2143" s="3" t="s">
        <v>957</v>
      </c>
      <c r="F2143" t="e">
        <f>_xlfn.XLOOKUP(A2143,[1]邦达数据库!$A:$A,[1]邦达数据库!$C:$C)</f>
        <v>#N/A</v>
      </c>
    </row>
    <row r="2144" ht="30" customHeight="1" spans="1:6">
      <c r="A2144" s="4" t="s">
        <v>4462</v>
      </c>
      <c r="B2144" s="5" t="s">
        <v>3784</v>
      </c>
      <c r="C2144" s="5" t="s">
        <v>3208</v>
      </c>
      <c r="D2144" s="5" t="s">
        <v>1000</v>
      </c>
      <c r="E2144" s="5" t="s">
        <v>1001</v>
      </c>
      <c r="F2144" t="e">
        <f>_xlfn.XLOOKUP(A2144,[1]邦达数据库!$A:$A,[1]邦达数据库!$C:$C)</f>
        <v>#N/A</v>
      </c>
    </row>
    <row r="2145" ht="30" customHeight="1" spans="1:6">
      <c r="A2145" s="2" t="s">
        <v>4463</v>
      </c>
      <c r="B2145" s="3" t="s">
        <v>3784</v>
      </c>
      <c r="C2145" s="3" t="s">
        <v>3208</v>
      </c>
      <c r="D2145" s="3" t="s">
        <v>1268</v>
      </c>
      <c r="E2145" s="3" t="s">
        <v>1269</v>
      </c>
      <c r="F2145" t="e">
        <f>_xlfn.XLOOKUP(A2145,[1]邦达数据库!$A:$A,[1]邦达数据库!$C:$C)</f>
        <v>#N/A</v>
      </c>
    </row>
    <row r="2146" ht="30" customHeight="1" spans="1:6">
      <c r="A2146" s="4" t="s">
        <v>4464</v>
      </c>
      <c r="B2146" s="5" t="s">
        <v>4465</v>
      </c>
      <c r="C2146" s="5" t="s">
        <v>221</v>
      </c>
      <c r="D2146" s="5" t="s">
        <v>130</v>
      </c>
      <c r="E2146" s="5" t="s">
        <v>131</v>
      </c>
      <c r="F2146" t="e">
        <f>_xlfn.XLOOKUP(A2146,[1]邦达数据库!$A:$A,[1]邦达数据库!$C:$C)</f>
        <v>#N/A</v>
      </c>
    </row>
    <row r="2147" ht="30" customHeight="1" spans="1:6">
      <c r="A2147" s="2" t="s">
        <v>4466</v>
      </c>
      <c r="B2147" s="3" t="s">
        <v>3044</v>
      </c>
      <c r="C2147" s="3" t="s">
        <v>3045</v>
      </c>
      <c r="D2147" s="3" t="s">
        <v>1920</v>
      </c>
      <c r="E2147" s="3" t="s">
        <v>1921</v>
      </c>
      <c r="F2147" t="str">
        <f>_xlfn.XLOOKUP(A2147,[1]邦达数据库!$A:$A,[1]邦达数据库!$C:$C)</f>
        <v>8479.89.9790</v>
      </c>
    </row>
    <row r="2148" ht="30" customHeight="1" spans="1:6">
      <c r="A2148" s="4" t="s">
        <v>4467</v>
      </c>
      <c r="B2148" s="5" t="s">
        <v>3044</v>
      </c>
      <c r="C2148" s="5" t="s">
        <v>3045</v>
      </c>
      <c r="D2148" s="5" t="s">
        <v>518</v>
      </c>
      <c r="E2148" s="5" t="s">
        <v>519</v>
      </c>
      <c r="F2148" t="e">
        <f>_xlfn.XLOOKUP(A2148,[1]邦达数据库!$A:$A,[1]邦达数据库!$C:$C)</f>
        <v>#N/A</v>
      </c>
    </row>
    <row r="2149" ht="30" customHeight="1" spans="1:6">
      <c r="A2149" s="2" t="s">
        <v>4468</v>
      </c>
      <c r="B2149" s="3" t="s">
        <v>3044</v>
      </c>
      <c r="C2149" s="3" t="s">
        <v>3045</v>
      </c>
      <c r="D2149" s="3" t="s">
        <v>518</v>
      </c>
      <c r="E2149" s="3" t="s">
        <v>519</v>
      </c>
      <c r="F2149" t="e">
        <f>_xlfn.XLOOKUP(A2149,[1]邦达数据库!$A:$A,[1]邦达数据库!$C:$C)</f>
        <v>#N/A</v>
      </c>
    </row>
    <row r="2150" ht="30" customHeight="1" spans="1:6">
      <c r="A2150" s="4" t="s">
        <v>4469</v>
      </c>
      <c r="B2150" s="5" t="s">
        <v>4470</v>
      </c>
      <c r="C2150" s="5" t="s">
        <v>4471</v>
      </c>
      <c r="D2150" s="5" t="s">
        <v>1574</v>
      </c>
      <c r="E2150" s="5" t="s">
        <v>1575</v>
      </c>
      <c r="F2150" t="e">
        <f>_xlfn.XLOOKUP(A2150,[1]邦达数据库!$A:$A,[1]邦达数据库!$C:$C)</f>
        <v>#N/A</v>
      </c>
    </row>
    <row r="2151" ht="30" customHeight="1" spans="1:6">
      <c r="A2151" s="4" t="s">
        <v>4472</v>
      </c>
      <c r="B2151" s="5" t="s">
        <v>4473</v>
      </c>
      <c r="C2151" s="5" t="s">
        <v>4474</v>
      </c>
      <c r="D2151" s="5" t="s">
        <v>572</v>
      </c>
      <c r="E2151" s="5" t="s">
        <v>573</v>
      </c>
      <c r="F2151" t="e">
        <f>_xlfn.XLOOKUP(A2151,[1]邦达数据库!$A:$A,[1]邦达数据库!$C:$C)</f>
        <v>#N/A</v>
      </c>
    </row>
    <row r="2152" ht="30" customHeight="1" spans="1:6">
      <c r="A2152" s="4" t="s">
        <v>4475</v>
      </c>
      <c r="B2152" s="5" t="s">
        <v>4476</v>
      </c>
      <c r="C2152" s="5" t="s">
        <v>836</v>
      </c>
      <c r="D2152" s="5" t="s">
        <v>1285</v>
      </c>
      <c r="E2152" s="5" t="s">
        <v>1286</v>
      </c>
      <c r="F2152" t="e">
        <f>_xlfn.XLOOKUP(A2152,[1]邦达数据库!$A:$A,[1]邦达数据库!$C:$C)</f>
        <v>#N/A</v>
      </c>
    </row>
    <row r="2153" ht="30" customHeight="1" spans="1:6">
      <c r="A2153" s="2" t="s">
        <v>4477</v>
      </c>
      <c r="B2153" s="3" t="s">
        <v>4476</v>
      </c>
      <c r="C2153" s="3" t="s">
        <v>836</v>
      </c>
      <c r="D2153" s="3" t="s">
        <v>1285</v>
      </c>
      <c r="E2153" s="3" t="s">
        <v>1286</v>
      </c>
      <c r="F2153" t="e">
        <f>_xlfn.XLOOKUP(A2153,[1]邦达数据库!$A:$A,[1]邦达数据库!$C:$C)</f>
        <v>#N/A</v>
      </c>
    </row>
    <row r="2154" ht="30" customHeight="1" spans="1:6">
      <c r="A2154" s="4" t="s">
        <v>4478</v>
      </c>
      <c r="B2154" s="5" t="s">
        <v>4476</v>
      </c>
      <c r="C2154" s="5" t="s">
        <v>836</v>
      </c>
      <c r="D2154" s="5" t="s">
        <v>1285</v>
      </c>
      <c r="E2154" s="5" t="s">
        <v>1286</v>
      </c>
      <c r="F2154" t="e">
        <f>_xlfn.XLOOKUP(A2154,[1]邦达数据库!$A:$A,[1]邦达数据库!$C:$C)</f>
        <v>#N/A</v>
      </c>
    </row>
    <row r="2155" ht="30" customHeight="1" spans="1:6">
      <c r="A2155" s="2" t="s">
        <v>4479</v>
      </c>
      <c r="B2155" s="3" t="s">
        <v>4476</v>
      </c>
      <c r="C2155" s="3" t="s">
        <v>836</v>
      </c>
      <c r="D2155" s="3" t="s">
        <v>1285</v>
      </c>
      <c r="E2155" s="3" t="s">
        <v>1286</v>
      </c>
      <c r="F2155" t="e">
        <f>_xlfn.XLOOKUP(A2155,[1]邦达数据库!$A:$A,[1]邦达数据库!$C:$C)</f>
        <v>#N/A</v>
      </c>
    </row>
    <row r="2156" ht="30" customHeight="1" spans="1:6">
      <c r="A2156" s="4" t="s">
        <v>4480</v>
      </c>
      <c r="B2156" s="5" t="s">
        <v>4476</v>
      </c>
      <c r="C2156" s="5" t="s">
        <v>836</v>
      </c>
      <c r="D2156" s="5" t="s">
        <v>1285</v>
      </c>
      <c r="E2156" s="5" t="s">
        <v>1286</v>
      </c>
      <c r="F2156" t="e">
        <f>_xlfn.XLOOKUP(A2156,[1]邦达数据库!$A:$A,[1]邦达数据库!$C:$C)</f>
        <v>#N/A</v>
      </c>
    </row>
    <row r="2157" ht="30" customHeight="1" spans="1:6">
      <c r="A2157" s="2" t="s">
        <v>4481</v>
      </c>
      <c r="B2157" s="3" t="s">
        <v>3044</v>
      </c>
      <c r="C2157" s="3" t="s">
        <v>3045</v>
      </c>
      <c r="D2157" s="3" t="s">
        <v>518</v>
      </c>
      <c r="E2157" s="3" t="s">
        <v>519</v>
      </c>
      <c r="F2157" t="str">
        <f>_xlfn.XLOOKUP(A2157,[1]邦达数据库!$A:$A,[1]邦达数据库!$C:$C)</f>
        <v>8479.89.9790</v>
      </c>
    </row>
    <row r="2158" ht="30" customHeight="1" spans="1:6">
      <c r="A2158" s="4" t="s">
        <v>4482</v>
      </c>
      <c r="B2158" s="5" t="s">
        <v>4483</v>
      </c>
      <c r="C2158" s="5" t="s">
        <v>1447</v>
      </c>
      <c r="D2158" s="5" t="s">
        <v>719</v>
      </c>
      <c r="E2158" s="5" t="s">
        <v>720</v>
      </c>
      <c r="F2158" t="e">
        <f>_xlfn.XLOOKUP(A2158,[1]邦达数据库!$A:$A,[1]邦达数据库!$C:$C)</f>
        <v>#N/A</v>
      </c>
    </row>
    <row r="2159" ht="30" customHeight="1" spans="1:6">
      <c r="A2159" s="2" t="s">
        <v>4484</v>
      </c>
      <c r="B2159" s="3" t="s">
        <v>4485</v>
      </c>
      <c r="C2159" s="3" t="s">
        <v>88</v>
      </c>
      <c r="D2159" s="3" t="s">
        <v>400</v>
      </c>
      <c r="E2159" s="3" t="s">
        <v>401</v>
      </c>
      <c r="F2159" t="e">
        <f>_xlfn.XLOOKUP(A2159,[1]邦达数据库!$A:$A,[1]邦达数据库!$C:$C)</f>
        <v>#N/A</v>
      </c>
    </row>
    <row r="2160" ht="30" customHeight="1" spans="1:6">
      <c r="A2160" s="4" t="s">
        <v>4486</v>
      </c>
      <c r="B2160" s="5" t="s">
        <v>4485</v>
      </c>
      <c r="C2160" s="5" t="s">
        <v>88</v>
      </c>
      <c r="D2160" s="5" t="s">
        <v>400</v>
      </c>
      <c r="E2160" s="5" t="s">
        <v>401</v>
      </c>
      <c r="F2160" t="e">
        <f>_xlfn.XLOOKUP(A2160,[1]邦达数据库!$A:$A,[1]邦达数据库!$C:$C)</f>
        <v>#N/A</v>
      </c>
    </row>
    <row r="2161" ht="30" customHeight="1" spans="1:6">
      <c r="A2161" s="2" t="s">
        <v>4487</v>
      </c>
      <c r="B2161" s="3" t="s">
        <v>4488</v>
      </c>
      <c r="C2161" s="3" t="s">
        <v>2970</v>
      </c>
      <c r="D2161" s="3" t="s">
        <v>271</v>
      </c>
      <c r="E2161" s="3" t="s">
        <v>272</v>
      </c>
      <c r="F2161" t="e">
        <f>_xlfn.XLOOKUP(A2161,[1]邦达数据库!$A:$A,[1]邦达数据库!$C:$C)</f>
        <v>#N/A</v>
      </c>
    </row>
    <row r="2162" ht="30" customHeight="1" spans="1:6">
      <c r="A2162" s="4" t="s">
        <v>4489</v>
      </c>
      <c r="B2162" s="5" t="s">
        <v>4488</v>
      </c>
      <c r="C2162" s="5" t="s">
        <v>2970</v>
      </c>
      <c r="D2162" s="5" t="s">
        <v>2253</v>
      </c>
      <c r="E2162" s="5" t="s">
        <v>2254</v>
      </c>
      <c r="F2162" t="e">
        <f>_xlfn.XLOOKUP(A2162,[1]邦达数据库!$A:$A,[1]邦达数据库!$C:$C)</f>
        <v>#N/A</v>
      </c>
    </row>
    <row r="2163" ht="30" customHeight="1" spans="1:6">
      <c r="A2163" s="2" t="s">
        <v>4490</v>
      </c>
      <c r="B2163" s="3" t="s">
        <v>4488</v>
      </c>
      <c r="C2163" s="3" t="s">
        <v>2970</v>
      </c>
      <c r="D2163" s="3" t="s">
        <v>2253</v>
      </c>
      <c r="E2163" s="3" t="s">
        <v>2254</v>
      </c>
      <c r="F2163" t="e">
        <f>_xlfn.XLOOKUP(A2163,[1]邦达数据库!$A:$A,[1]邦达数据库!$C:$C)</f>
        <v>#N/A</v>
      </c>
    </row>
    <row r="2164" ht="30" customHeight="1" spans="1:6">
      <c r="A2164" s="4" t="s">
        <v>4491</v>
      </c>
      <c r="B2164" s="5" t="s">
        <v>4488</v>
      </c>
      <c r="C2164" s="5" t="s">
        <v>2970</v>
      </c>
      <c r="D2164" s="5" t="s">
        <v>2253</v>
      </c>
      <c r="E2164" s="5" t="s">
        <v>2254</v>
      </c>
      <c r="F2164" t="e">
        <f>_xlfn.XLOOKUP(A2164,[1]邦达数据库!$A:$A,[1]邦达数据库!$C:$C)</f>
        <v>#N/A</v>
      </c>
    </row>
    <row r="2165" ht="30" customHeight="1" spans="1:6">
      <c r="A2165" s="2" t="s">
        <v>4492</v>
      </c>
      <c r="B2165" s="3" t="s">
        <v>2969</v>
      </c>
      <c r="C2165" s="3" t="s">
        <v>2970</v>
      </c>
      <c r="D2165" s="3" t="s">
        <v>1278</v>
      </c>
      <c r="E2165" s="3" t="s">
        <v>1279</v>
      </c>
      <c r="F2165" t="e">
        <f>_xlfn.XLOOKUP(A2165,[1]邦达数据库!$A:$A,[1]邦达数据库!$C:$C)</f>
        <v>#N/A</v>
      </c>
    </row>
    <row r="2166" ht="30" customHeight="1" spans="1:6">
      <c r="A2166" s="4" t="s">
        <v>4493</v>
      </c>
      <c r="B2166" s="5" t="s">
        <v>2969</v>
      </c>
      <c r="C2166" s="5" t="s">
        <v>2970</v>
      </c>
      <c r="D2166" s="5" t="s">
        <v>271</v>
      </c>
      <c r="E2166" s="5" t="s">
        <v>272</v>
      </c>
      <c r="F2166" t="e">
        <f>_xlfn.XLOOKUP(A2166,[1]邦达数据库!$A:$A,[1]邦达数据库!$C:$C)</f>
        <v>#N/A</v>
      </c>
    </row>
    <row r="2167" ht="30" customHeight="1" spans="1:6">
      <c r="A2167" s="2" t="s">
        <v>4494</v>
      </c>
      <c r="B2167" s="3" t="s">
        <v>4495</v>
      </c>
      <c r="C2167" s="3" t="s">
        <v>1167</v>
      </c>
      <c r="D2167" s="3" t="s">
        <v>1081</v>
      </c>
      <c r="E2167" s="3" t="s">
        <v>1082</v>
      </c>
      <c r="F2167" t="e">
        <f>_xlfn.XLOOKUP(A2167,[1]邦达数据库!$A:$A,[1]邦达数据库!$C:$C)</f>
        <v>#N/A</v>
      </c>
    </row>
    <row r="2168" ht="30" customHeight="1" spans="1:6">
      <c r="A2168" s="4" t="s">
        <v>4496</v>
      </c>
      <c r="B2168" s="5" t="s">
        <v>4497</v>
      </c>
      <c r="C2168" s="5" t="s">
        <v>1167</v>
      </c>
      <c r="D2168" s="5" t="s">
        <v>1745</v>
      </c>
      <c r="E2168" s="5" t="s">
        <v>1746</v>
      </c>
      <c r="F2168" t="e">
        <f>_xlfn.XLOOKUP(A2168,[1]邦达数据库!$A:$A,[1]邦达数据库!$C:$C)</f>
        <v>#N/A</v>
      </c>
    </row>
    <row r="2169" ht="30" customHeight="1" spans="1:6">
      <c r="A2169" s="2" t="s">
        <v>4498</v>
      </c>
      <c r="B2169" s="3" t="s">
        <v>4499</v>
      </c>
      <c r="C2169" s="3" t="s">
        <v>1167</v>
      </c>
      <c r="D2169" s="3" t="s">
        <v>2517</v>
      </c>
      <c r="E2169" s="3" t="s">
        <v>2518</v>
      </c>
      <c r="F2169" t="e">
        <f>_xlfn.XLOOKUP(A2169,[1]邦达数据库!$A:$A,[1]邦达数据库!$C:$C)</f>
        <v>#N/A</v>
      </c>
    </row>
    <row r="2170" ht="30" customHeight="1" spans="1:6">
      <c r="A2170" s="4" t="s">
        <v>4500</v>
      </c>
      <c r="B2170" s="5" t="s">
        <v>4495</v>
      </c>
      <c r="C2170" s="5" t="s">
        <v>1167</v>
      </c>
      <c r="D2170" s="5" t="s">
        <v>1116</v>
      </c>
      <c r="E2170" s="5" t="s">
        <v>1117</v>
      </c>
      <c r="F2170" t="e">
        <f>_xlfn.XLOOKUP(A2170,[1]邦达数据库!$A:$A,[1]邦达数据库!$C:$C)</f>
        <v>#N/A</v>
      </c>
    </row>
    <row r="2171" ht="30" customHeight="1" spans="1:6">
      <c r="A2171" s="2" t="s">
        <v>4501</v>
      </c>
      <c r="B2171" s="3" t="s">
        <v>4502</v>
      </c>
      <c r="C2171" s="3" t="s">
        <v>1167</v>
      </c>
      <c r="D2171" s="3" t="s">
        <v>2938</v>
      </c>
      <c r="E2171" s="3" t="s">
        <v>2939</v>
      </c>
      <c r="F2171" t="e">
        <f>_xlfn.XLOOKUP(A2171,[1]邦达数据库!$A:$A,[1]邦达数据库!$C:$C)</f>
        <v>#N/A</v>
      </c>
    </row>
    <row r="2172" ht="30" customHeight="1" spans="1:6">
      <c r="A2172" s="4" t="s">
        <v>4503</v>
      </c>
      <c r="B2172" s="5" t="s">
        <v>4504</v>
      </c>
      <c r="C2172" s="5" t="s">
        <v>17</v>
      </c>
      <c r="D2172" s="5" t="s">
        <v>1549</v>
      </c>
      <c r="E2172" s="5" t="s">
        <v>1550</v>
      </c>
      <c r="F2172" t="e">
        <f>_xlfn.XLOOKUP(A2172,[1]邦达数据库!$A:$A,[1]邦达数据库!$C:$C)</f>
        <v>#N/A</v>
      </c>
    </row>
    <row r="2173" ht="30" customHeight="1" spans="1:6">
      <c r="A2173" s="2" t="s">
        <v>4505</v>
      </c>
      <c r="B2173" s="3" t="s">
        <v>293</v>
      </c>
      <c r="C2173" s="3" t="s">
        <v>3045</v>
      </c>
      <c r="D2173" s="3" t="s">
        <v>3096</v>
      </c>
      <c r="E2173" s="3" t="s">
        <v>3097</v>
      </c>
      <c r="F2173" t="e">
        <f>_xlfn.XLOOKUP(A2173,[1]邦达数据库!$A:$A,[1]邦达数据库!$C:$C)</f>
        <v>#N/A</v>
      </c>
    </row>
    <row r="2174" ht="30" customHeight="1" spans="1:6">
      <c r="A2174" s="4" t="s">
        <v>4506</v>
      </c>
      <c r="B2174" s="5" t="s">
        <v>4507</v>
      </c>
      <c r="C2174" s="5" t="s">
        <v>3954</v>
      </c>
      <c r="D2174" s="5" t="s">
        <v>400</v>
      </c>
      <c r="E2174" s="5" t="s">
        <v>401</v>
      </c>
      <c r="F2174" t="e">
        <f>_xlfn.XLOOKUP(A2174,[1]邦达数据库!$A:$A,[1]邦达数据库!$C:$C)</f>
        <v>#N/A</v>
      </c>
    </row>
    <row r="2175" ht="30" customHeight="1" spans="1:6">
      <c r="A2175" s="2" t="s">
        <v>4508</v>
      </c>
      <c r="B2175" s="3" t="s">
        <v>1585</v>
      </c>
      <c r="C2175" s="3" t="s">
        <v>4509</v>
      </c>
      <c r="D2175" s="3" t="s">
        <v>319</v>
      </c>
      <c r="E2175" s="3" t="s">
        <v>320</v>
      </c>
      <c r="F2175" t="e">
        <f>_xlfn.XLOOKUP(A2175,[1]邦达数据库!$A:$A,[1]邦达数据库!$C:$C)</f>
        <v>#N/A</v>
      </c>
    </row>
    <row r="2176" ht="30" customHeight="1" spans="1:6">
      <c r="A2176" s="4" t="s">
        <v>4510</v>
      </c>
      <c r="B2176" s="5" t="s">
        <v>4511</v>
      </c>
      <c r="C2176" s="5" t="s">
        <v>17</v>
      </c>
      <c r="D2176" s="5" t="s">
        <v>4512</v>
      </c>
      <c r="E2176" s="5" t="s">
        <v>4513</v>
      </c>
      <c r="F2176" t="e">
        <f>_xlfn.XLOOKUP(A2176,[1]邦达数据库!$A:$A,[1]邦达数据库!$C:$C)</f>
        <v>#N/A</v>
      </c>
    </row>
    <row r="2177" ht="30" customHeight="1" spans="1:6">
      <c r="A2177" s="2" t="s">
        <v>4514</v>
      </c>
      <c r="B2177" s="3" t="s">
        <v>4515</v>
      </c>
      <c r="C2177" s="3" t="s">
        <v>265</v>
      </c>
      <c r="D2177" s="3" t="s">
        <v>4516</v>
      </c>
      <c r="E2177" s="3" t="s">
        <v>4517</v>
      </c>
      <c r="F2177" t="e">
        <f>_xlfn.XLOOKUP(A2177,[1]邦达数据库!$A:$A,[1]邦达数据库!$C:$C)</f>
        <v>#N/A</v>
      </c>
    </row>
    <row r="2178" ht="30" customHeight="1" spans="1:6">
      <c r="A2178" s="4" t="s">
        <v>4518</v>
      </c>
      <c r="B2178" s="5" t="s">
        <v>4519</v>
      </c>
      <c r="C2178" s="5" t="s">
        <v>3332</v>
      </c>
      <c r="D2178" s="5" t="s">
        <v>558</v>
      </c>
      <c r="E2178" s="5" t="s">
        <v>559</v>
      </c>
      <c r="F2178" t="e">
        <f>_xlfn.XLOOKUP(A2178,[1]邦达数据库!$A:$A,[1]邦达数据库!$C:$C)</f>
        <v>#N/A</v>
      </c>
    </row>
    <row r="2179" ht="30" customHeight="1" spans="1:6">
      <c r="A2179" s="2" t="s">
        <v>4520</v>
      </c>
      <c r="B2179" s="3" t="s">
        <v>2629</v>
      </c>
      <c r="C2179" s="3" t="s">
        <v>42</v>
      </c>
      <c r="D2179" s="3" t="s">
        <v>568</v>
      </c>
      <c r="E2179" s="3" t="s">
        <v>569</v>
      </c>
      <c r="F2179" t="e">
        <f>_xlfn.XLOOKUP(A2179,[1]邦达数据库!$A:$A,[1]邦达数据库!$C:$C)</f>
        <v>#N/A</v>
      </c>
    </row>
    <row r="2180" ht="30" customHeight="1" spans="1:6">
      <c r="A2180" s="4" t="s">
        <v>4521</v>
      </c>
      <c r="B2180" s="5" t="s">
        <v>4522</v>
      </c>
      <c r="C2180" s="5" t="s">
        <v>17</v>
      </c>
      <c r="D2180" s="5" t="s">
        <v>4523</v>
      </c>
      <c r="E2180" s="5" t="s">
        <v>4524</v>
      </c>
      <c r="F2180" t="e">
        <f>_xlfn.XLOOKUP(A2180,[1]邦达数据库!$A:$A,[1]邦达数据库!$C:$C)</f>
        <v>#N/A</v>
      </c>
    </row>
    <row r="2181" ht="30" customHeight="1" spans="1:6">
      <c r="A2181" s="2" t="s">
        <v>4525</v>
      </c>
      <c r="B2181" s="3" t="s">
        <v>4526</v>
      </c>
      <c r="C2181" s="3" t="s">
        <v>78</v>
      </c>
      <c r="D2181" s="3" t="s">
        <v>4527</v>
      </c>
      <c r="E2181" s="3" t="s">
        <v>4528</v>
      </c>
      <c r="F2181" t="e">
        <f>_xlfn.XLOOKUP(A2181,[1]邦达数据库!$A:$A,[1]邦达数据库!$C:$C)</f>
        <v>#N/A</v>
      </c>
    </row>
    <row r="2182" ht="30" customHeight="1" spans="1:6">
      <c r="A2182" s="4" t="s">
        <v>4529</v>
      </c>
      <c r="B2182" s="5" t="s">
        <v>4530</v>
      </c>
      <c r="C2182" s="5" t="s">
        <v>4531</v>
      </c>
      <c r="D2182" s="5" t="s">
        <v>4532</v>
      </c>
      <c r="E2182" s="5" t="s">
        <v>4533</v>
      </c>
      <c r="F2182" t="e">
        <f>_xlfn.XLOOKUP(A2182,[1]邦达数据库!$A:$A,[1]邦达数据库!$C:$C)</f>
        <v>#N/A</v>
      </c>
    </row>
    <row r="2183" ht="30" customHeight="1" spans="1:6">
      <c r="A2183" s="4" t="s">
        <v>4534</v>
      </c>
      <c r="B2183" s="5" t="s">
        <v>4535</v>
      </c>
      <c r="C2183" s="5" t="s">
        <v>4536</v>
      </c>
      <c r="D2183" s="5" t="s">
        <v>9</v>
      </c>
      <c r="E2183" s="5" t="s">
        <v>10</v>
      </c>
      <c r="F2183" t="e">
        <f>_xlfn.XLOOKUP(A2183,[1]邦达数据库!$A:$A,[1]邦达数据库!$C:$C)</f>
        <v>#N/A</v>
      </c>
    </row>
    <row r="2184" ht="30" customHeight="1" spans="1:6">
      <c r="A2184" s="2" t="s">
        <v>4537</v>
      </c>
      <c r="B2184" s="3" t="s">
        <v>4535</v>
      </c>
      <c r="C2184" s="3" t="s">
        <v>4538</v>
      </c>
      <c r="D2184" s="3" t="s">
        <v>400</v>
      </c>
      <c r="E2184" s="3" t="s">
        <v>401</v>
      </c>
      <c r="F2184" t="e">
        <f>_xlfn.XLOOKUP(A2184,[1]邦达数据库!$A:$A,[1]邦达数据库!$C:$C)</f>
        <v>#N/A</v>
      </c>
    </row>
    <row r="2185" ht="30" customHeight="1" spans="1:6">
      <c r="A2185" s="4" t="s">
        <v>4539</v>
      </c>
      <c r="B2185" s="5" t="s">
        <v>4046</v>
      </c>
      <c r="C2185" s="5" t="s">
        <v>962</v>
      </c>
      <c r="D2185" s="5" t="s">
        <v>992</v>
      </c>
      <c r="E2185" s="5" t="s">
        <v>993</v>
      </c>
      <c r="F2185" t="e">
        <f>_xlfn.XLOOKUP(A2185,[1]邦达数据库!$A:$A,[1]邦达数据库!$C:$C)</f>
        <v>#N/A</v>
      </c>
    </row>
    <row r="2186" ht="30" customHeight="1" spans="1:6">
      <c r="A2186" s="2" t="s">
        <v>4540</v>
      </c>
      <c r="B2186" s="3" t="s">
        <v>4541</v>
      </c>
      <c r="C2186" s="3" t="s">
        <v>1398</v>
      </c>
      <c r="D2186" s="3" t="s">
        <v>992</v>
      </c>
      <c r="E2186" s="3" t="s">
        <v>993</v>
      </c>
      <c r="F2186" t="e">
        <f>_xlfn.XLOOKUP(A2186,[1]邦达数据库!$A:$A,[1]邦达数据库!$C:$C)</f>
        <v>#N/A</v>
      </c>
    </row>
    <row r="2187" ht="30" customHeight="1" spans="1:6">
      <c r="A2187" s="4" t="s">
        <v>4542</v>
      </c>
      <c r="B2187" s="5" t="s">
        <v>4046</v>
      </c>
      <c r="C2187" s="5" t="s">
        <v>962</v>
      </c>
      <c r="D2187" s="5" t="s">
        <v>963</v>
      </c>
      <c r="E2187" s="5" t="s">
        <v>964</v>
      </c>
      <c r="F2187" t="e">
        <f>_xlfn.XLOOKUP(A2187,[1]邦达数据库!$A:$A,[1]邦达数据库!$C:$C)</f>
        <v>#N/A</v>
      </c>
    </row>
    <row r="2188" ht="30" customHeight="1" spans="1:6">
      <c r="A2188" s="2" t="s">
        <v>4543</v>
      </c>
      <c r="B2188" s="3" t="s">
        <v>4046</v>
      </c>
      <c r="C2188" s="3" t="s">
        <v>962</v>
      </c>
      <c r="D2188" s="3" t="s">
        <v>992</v>
      </c>
      <c r="E2188" s="3" t="s">
        <v>993</v>
      </c>
      <c r="F2188" t="e">
        <f>_xlfn.XLOOKUP(A2188,[1]邦达数据库!$A:$A,[1]邦达数据库!$C:$C)</f>
        <v>#N/A</v>
      </c>
    </row>
    <row r="2189" ht="30" customHeight="1" spans="1:6">
      <c r="A2189" s="4" t="s">
        <v>4544</v>
      </c>
      <c r="B2189" s="5" t="s">
        <v>4046</v>
      </c>
      <c r="C2189" s="5" t="s">
        <v>962</v>
      </c>
      <c r="D2189" s="5" t="s">
        <v>992</v>
      </c>
      <c r="E2189" s="5" t="s">
        <v>993</v>
      </c>
      <c r="F2189" t="e">
        <f>_xlfn.XLOOKUP(A2189,[1]邦达数据库!$A:$A,[1]邦达数据库!$C:$C)</f>
        <v>#N/A</v>
      </c>
    </row>
    <row r="2190" ht="30" customHeight="1" spans="1:6">
      <c r="A2190" s="2" t="s">
        <v>4545</v>
      </c>
      <c r="B2190" s="3" t="s">
        <v>4046</v>
      </c>
      <c r="C2190" s="3" t="s">
        <v>962</v>
      </c>
      <c r="D2190" s="3" t="s">
        <v>992</v>
      </c>
      <c r="E2190" s="3" t="s">
        <v>993</v>
      </c>
      <c r="F2190" t="e">
        <f>_xlfn.XLOOKUP(A2190,[1]邦达数据库!$A:$A,[1]邦达数据库!$C:$C)</f>
        <v>#N/A</v>
      </c>
    </row>
    <row r="2191" ht="30" customHeight="1" spans="1:6">
      <c r="A2191" s="4" t="s">
        <v>4546</v>
      </c>
      <c r="B2191" s="5" t="s">
        <v>676</v>
      </c>
      <c r="C2191" s="5" t="s">
        <v>4547</v>
      </c>
      <c r="D2191" s="5" t="s">
        <v>1432</v>
      </c>
      <c r="E2191" s="5" t="s">
        <v>1433</v>
      </c>
      <c r="F2191" t="e">
        <f>_xlfn.XLOOKUP(A2191,[1]邦达数据库!$A:$A,[1]邦达数据库!$C:$C)</f>
        <v>#N/A</v>
      </c>
    </row>
    <row r="2192" ht="30" customHeight="1" spans="1:6">
      <c r="A2192" s="2" t="s">
        <v>4548</v>
      </c>
      <c r="B2192" s="3" t="s">
        <v>797</v>
      </c>
      <c r="C2192" s="3" t="s">
        <v>798</v>
      </c>
      <c r="D2192" s="3" t="s">
        <v>799</v>
      </c>
      <c r="E2192" s="3" t="s">
        <v>800</v>
      </c>
      <c r="F2192" t="e">
        <f>_xlfn.XLOOKUP(A2192,[1]邦达数据库!$A:$A,[1]邦达数据库!$C:$C)</f>
        <v>#N/A</v>
      </c>
    </row>
    <row r="2193" ht="30" customHeight="1" spans="1:6">
      <c r="A2193" s="4" t="s">
        <v>4549</v>
      </c>
      <c r="B2193" s="5" t="s">
        <v>4550</v>
      </c>
      <c r="C2193" s="5" t="s">
        <v>4551</v>
      </c>
      <c r="D2193" s="5" t="s">
        <v>1268</v>
      </c>
      <c r="E2193" s="5" t="s">
        <v>1269</v>
      </c>
      <c r="F2193" t="e">
        <f>_xlfn.XLOOKUP(A2193,[1]邦达数据库!$A:$A,[1]邦达数据库!$C:$C)</f>
        <v>#N/A</v>
      </c>
    </row>
    <row r="2194" ht="30" customHeight="1" spans="1:6">
      <c r="A2194" s="2" t="s">
        <v>4552</v>
      </c>
      <c r="B2194" s="3" t="s">
        <v>4553</v>
      </c>
      <c r="C2194" s="3" t="s">
        <v>242</v>
      </c>
      <c r="D2194" s="3" t="s">
        <v>1116</v>
      </c>
      <c r="E2194" s="3" t="s">
        <v>1117</v>
      </c>
      <c r="F2194" t="e">
        <f>_xlfn.XLOOKUP(A2194,[1]邦达数据库!$A:$A,[1]邦达数据库!$C:$C)</f>
        <v>#N/A</v>
      </c>
    </row>
    <row r="2195" ht="30" customHeight="1" spans="1:6">
      <c r="A2195" s="4" t="s">
        <v>4554</v>
      </c>
      <c r="B2195" s="5" t="s">
        <v>4553</v>
      </c>
      <c r="C2195" s="5" t="s">
        <v>242</v>
      </c>
      <c r="D2195" s="5" t="s">
        <v>1116</v>
      </c>
      <c r="E2195" s="5" t="s">
        <v>1117</v>
      </c>
      <c r="F2195" t="e">
        <f>_xlfn.XLOOKUP(A2195,[1]邦达数据库!$A:$A,[1]邦达数据库!$C:$C)</f>
        <v>#N/A</v>
      </c>
    </row>
    <row r="2196" ht="30" customHeight="1" spans="1:6">
      <c r="A2196" s="2" t="s">
        <v>4555</v>
      </c>
      <c r="B2196" s="3" t="s">
        <v>4553</v>
      </c>
      <c r="C2196" s="3" t="s">
        <v>242</v>
      </c>
      <c r="D2196" s="3" t="s">
        <v>3343</v>
      </c>
      <c r="E2196" s="3" t="s">
        <v>3344</v>
      </c>
      <c r="F2196" t="e">
        <f>_xlfn.XLOOKUP(A2196,[1]邦达数据库!$A:$A,[1]邦达数据库!$C:$C)</f>
        <v>#N/A</v>
      </c>
    </row>
    <row r="2197" ht="30" customHeight="1" spans="1:6">
      <c r="A2197" s="4" t="s">
        <v>4556</v>
      </c>
      <c r="B2197" s="5" t="s">
        <v>4553</v>
      </c>
      <c r="C2197" s="5" t="s">
        <v>242</v>
      </c>
      <c r="D2197" s="5" t="s">
        <v>1116</v>
      </c>
      <c r="E2197" s="5" t="s">
        <v>1117</v>
      </c>
      <c r="F2197" t="e">
        <f>_xlfn.XLOOKUP(A2197,[1]邦达数据库!$A:$A,[1]邦达数据库!$C:$C)</f>
        <v>#N/A</v>
      </c>
    </row>
    <row r="2198" ht="30" customHeight="1" spans="1:6">
      <c r="A2198" s="2" t="s">
        <v>4557</v>
      </c>
      <c r="B2198" s="3" t="s">
        <v>4553</v>
      </c>
      <c r="C2198" s="3" t="s">
        <v>242</v>
      </c>
      <c r="D2198" s="3" t="s">
        <v>1116</v>
      </c>
      <c r="E2198" s="3" t="s">
        <v>1117</v>
      </c>
      <c r="F2198" t="e">
        <f>_xlfn.XLOOKUP(A2198,[1]邦达数据库!$A:$A,[1]邦达数据库!$C:$C)</f>
        <v>#N/A</v>
      </c>
    </row>
    <row r="2199" ht="30" customHeight="1" spans="1:6">
      <c r="A2199" s="4" t="s">
        <v>4558</v>
      </c>
      <c r="B2199" s="5" t="s">
        <v>4559</v>
      </c>
      <c r="C2199" s="5" t="s">
        <v>3881</v>
      </c>
      <c r="D2199" s="5" t="s">
        <v>173</v>
      </c>
      <c r="E2199" s="5" t="s">
        <v>174</v>
      </c>
      <c r="F2199" t="str">
        <f>_xlfn.XLOOKUP(A2199,[1]邦达数据库!$A:$A,[1]邦达数据库!$C:$C)</f>
        <v>6702.10.0000</v>
      </c>
    </row>
    <row r="2200" ht="30" customHeight="1" spans="1:6">
      <c r="A2200" s="2" t="s">
        <v>4560</v>
      </c>
      <c r="B2200" s="3" t="s">
        <v>4559</v>
      </c>
      <c r="C2200" s="3" t="s">
        <v>3881</v>
      </c>
      <c r="D2200" s="3" t="s">
        <v>829</v>
      </c>
      <c r="E2200" s="3" t="s">
        <v>830</v>
      </c>
      <c r="F2200" t="e">
        <f>_xlfn.XLOOKUP(A2200,[1]邦达数据库!$A:$A,[1]邦达数据库!$C:$C)</f>
        <v>#N/A</v>
      </c>
    </row>
    <row r="2201" ht="30" customHeight="1" spans="1:6">
      <c r="A2201" s="4" t="s">
        <v>4561</v>
      </c>
      <c r="B2201" s="5" t="s">
        <v>4559</v>
      </c>
      <c r="C2201" s="5" t="s">
        <v>3881</v>
      </c>
      <c r="D2201" s="5" t="s">
        <v>4562</v>
      </c>
      <c r="E2201" s="5" t="s">
        <v>4563</v>
      </c>
      <c r="F2201" t="str">
        <f>_xlfn.XLOOKUP(A2201,[1]邦达数据库!$A:$A,[1]邦达数据库!$C:$C)</f>
        <v>6702.10.0000</v>
      </c>
    </row>
    <row r="2202" ht="30" customHeight="1" spans="1:6">
      <c r="A2202" s="2" t="s">
        <v>4564</v>
      </c>
      <c r="B2202" s="3" t="s">
        <v>4565</v>
      </c>
      <c r="C2202" s="3" t="s">
        <v>3881</v>
      </c>
      <c r="D2202" s="3" t="s">
        <v>4523</v>
      </c>
      <c r="E2202" s="3" t="s">
        <v>4524</v>
      </c>
      <c r="F2202" t="e">
        <f>_xlfn.XLOOKUP(A2202,[1]邦达数据库!$A:$A,[1]邦达数据库!$C:$C)</f>
        <v>#N/A</v>
      </c>
    </row>
    <row r="2203" ht="30" customHeight="1" spans="1:6">
      <c r="A2203" s="4" t="s">
        <v>4566</v>
      </c>
      <c r="B2203" s="5" t="s">
        <v>4565</v>
      </c>
      <c r="C2203" s="5" t="s">
        <v>3881</v>
      </c>
      <c r="D2203" s="5" t="s">
        <v>558</v>
      </c>
      <c r="E2203" s="5" t="s">
        <v>559</v>
      </c>
      <c r="F2203" t="e">
        <f>_xlfn.XLOOKUP(A2203,[1]邦达数据库!$A:$A,[1]邦达数据库!$C:$C)</f>
        <v>#N/A</v>
      </c>
    </row>
    <row r="2204" ht="30" customHeight="1" spans="1:6">
      <c r="A2204" s="2" t="s">
        <v>4567</v>
      </c>
      <c r="B2204" s="3" t="s">
        <v>4568</v>
      </c>
      <c r="C2204" s="3" t="s">
        <v>3881</v>
      </c>
      <c r="D2204" s="3" t="s">
        <v>4569</v>
      </c>
      <c r="E2204" s="3" t="s">
        <v>4570</v>
      </c>
      <c r="F2204" t="e">
        <f>_xlfn.XLOOKUP(A2204,[1]邦达数据库!$A:$A,[1]邦达数据库!$C:$C)</f>
        <v>#N/A</v>
      </c>
    </row>
    <row r="2205" ht="30" customHeight="1" spans="1:6">
      <c r="A2205" s="4" t="s">
        <v>4571</v>
      </c>
      <c r="B2205" s="5" t="s">
        <v>4568</v>
      </c>
      <c r="C2205" s="5" t="s">
        <v>3881</v>
      </c>
      <c r="D2205" s="5" t="s">
        <v>753</v>
      </c>
      <c r="E2205" s="5" t="s">
        <v>754</v>
      </c>
      <c r="F2205" t="e">
        <f>_xlfn.XLOOKUP(A2205,[1]邦达数据库!$A:$A,[1]邦达数据库!$C:$C)</f>
        <v>#N/A</v>
      </c>
    </row>
    <row r="2206" ht="30" customHeight="1" spans="1:6">
      <c r="A2206" s="2" t="s">
        <v>4572</v>
      </c>
      <c r="B2206" s="3" t="s">
        <v>4568</v>
      </c>
      <c r="C2206" s="3" t="s">
        <v>3881</v>
      </c>
      <c r="D2206" s="3" t="s">
        <v>421</v>
      </c>
      <c r="E2206" s="3" t="s">
        <v>422</v>
      </c>
      <c r="F2206" t="e">
        <f>_xlfn.XLOOKUP(A2206,[1]邦达数据库!$A:$A,[1]邦达数据库!$C:$C)</f>
        <v>#N/A</v>
      </c>
    </row>
    <row r="2207" ht="30" customHeight="1" spans="1:6">
      <c r="A2207" s="4" t="s">
        <v>4573</v>
      </c>
      <c r="B2207" s="5" t="s">
        <v>4568</v>
      </c>
      <c r="C2207" s="5" t="s">
        <v>3881</v>
      </c>
      <c r="D2207" s="5" t="s">
        <v>558</v>
      </c>
      <c r="E2207" s="5" t="s">
        <v>559</v>
      </c>
      <c r="F2207" t="e">
        <f>_xlfn.XLOOKUP(A2207,[1]邦达数据库!$A:$A,[1]邦达数据库!$C:$C)</f>
        <v>#N/A</v>
      </c>
    </row>
    <row r="2208" ht="30" customHeight="1" spans="1:6">
      <c r="A2208" s="2" t="s">
        <v>4574</v>
      </c>
      <c r="B2208" s="3" t="s">
        <v>4568</v>
      </c>
      <c r="C2208" s="3" t="s">
        <v>3881</v>
      </c>
      <c r="D2208" s="3" t="s">
        <v>421</v>
      </c>
      <c r="E2208" s="3" t="s">
        <v>422</v>
      </c>
      <c r="F2208" t="e">
        <f>_xlfn.XLOOKUP(A2208,[1]邦达数据库!$A:$A,[1]邦达数据库!$C:$C)</f>
        <v>#N/A</v>
      </c>
    </row>
    <row r="2209" ht="30" customHeight="1" spans="1:6">
      <c r="A2209" s="4" t="s">
        <v>4575</v>
      </c>
      <c r="B2209" s="5" t="s">
        <v>4559</v>
      </c>
      <c r="C2209" s="5" t="s">
        <v>3881</v>
      </c>
      <c r="D2209" s="5" t="s">
        <v>173</v>
      </c>
      <c r="E2209" s="5" t="s">
        <v>174</v>
      </c>
      <c r="F2209" t="e">
        <f>_xlfn.XLOOKUP(A2209,[1]邦达数据库!$A:$A,[1]邦达数据库!$C:$C)</f>
        <v>#N/A</v>
      </c>
    </row>
    <row r="2210" ht="30" customHeight="1" spans="1:6">
      <c r="A2210" s="2" t="s">
        <v>4576</v>
      </c>
      <c r="B2210" s="3" t="s">
        <v>4559</v>
      </c>
      <c r="C2210" s="3" t="s">
        <v>3881</v>
      </c>
      <c r="D2210" s="3" t="s">
        <v>4577</v>
      </c>
      <c r="E2210" s="3" t="s">
        <v>4578</v>
      </c>
      <c r="F2210" t="e">
        <f>_xlfn.XLOOKUP(A2210,[1]邦达数据库!$A:$A,[1]邦达数据库!$C:$C)</f>
        <v>#N/A</v>
      </c>
    </row>
    <row r="2211" ht="30" customHeight="1" spans="1:6">
      <c r="A2211" s="4" t="s">
        <v>4579</v>
      </c>
      <c r="B2211" s="5" t="s">
        <v>4559</v>
      </c>
      <c r="C2211" s="5" t="s">
        <v>3881</v>
      </c>
      <c r="D2211" s="5" t="s">
        <v>618</v>
      </c>
      <c r="E2211" s="5" t="s">
        <v>619</v>
      </c>
      <c r="F2211" t="e">
        <f>_xlfn.XLOOKUP(A2211,[1]邦达数据库!$A:$A,[1]邦达数据库!$C:$C)</f>
        <v>#N/A</v>
      </c>
    </row>
    <row r="2212" ht="30" customHeight="1" spans="1:6">
      <c r="A2212" s="2" t="s">
        <v>4580</v>
      </c>
      <c r="B2212" s="3" t="s">
        <v>4581</v>
      </c>
      <c r="C2212" s="3" t="s">
        <v>1759</v>
      </c>
      <c r="D2212" s="3" t="s">
        <v>1268</v>
      </c>
      <c r="E2212" s="3" t="s">
        <v>1269</v>
      </c>
      <c r="F2212" t="e">
        <f>_xlfn.XLOOKUP(A2212,[1]邦达数据库!$A:$A,[1]邦达数据库!$C:$C)</f>
        <v>#N/A</v>
      </c>
    </row>
    <row r="2213" ht="30" customHeight="1" spans="1:6">
      <c r="A2213" s="4" t="s">
        <v>4582</v>
      </c>
      <c r="B2213" s="5" t="s">
        <v>144</v>
      </c>
      <c r="C2213" s="5" t="s">
        <v>145</v>
      </c>
      <c r="D2213" s="5" t="s">
        <v>33</v>
      </c>
      <c r="E2213" s="5" t="s">
        <v>34</v>
      </c>
      <c r="F2213" t="e">
        <f>_xlfn.XLOOKUP(A2213,[1]邦达数据库!$A:$A,[1]邦达数据库!$C:$C)</f>
        <v>#N/A</v>
      </c>
    </row>
    <row r="2214" ht="30" customHeight="1" spans="1:6">
      <c r="A2214" s="4" t="s">
        <v>4583</v>
      </c>
      <c r="B2214" s="5" t="s">
        <v>4584</v>
      </c>
      <c r="C2214" s="5" t="s">
        <v>1447</v>
      </c>
      <c r="D2214" s="5" t="s">
        <v>73</v>
      </c>
      <c r="E2214" s="5" t="s">
        <v>74</v>
      </c>
      <c r="F2214" t="str">
        <f>_xlfn.XLOOKUP(A2214,[1]邦达数据库!$A:$A,[1]邦达数据库!$C:$C)</f>
        <v>8438.80.9900</v>
      </c>
    </row>
    <row r="2215" ht="30" customHeight="1" spans="1:6">
      <c r="A2215" s="2" t="s">
        <v>4585</v>
      </c>
      <c r="B2215" s="3" t="s">
        <v>4586</v>
      </c>
      <c r="C2215" s="3" t="s">
        <v>2054</v>
      </c>
      <c r="D2215" s="3" t="s">
        <v>524</v>
      </c>
      <c r="E2215" s="3" t="s">
        <v>525</v>
      </c>
      <c r="F2215" t="e">
        <f>_xlfn.XLOOKUP(A2215,[1]邦达数据库!$A:$A,[1]邦达数据库!$C:$C)</f>
        <v>#N/A</v>
      </c>
    </row>
    <row r="2216" ht="30" customHeight="1" spans="1:6">
      <c r="A2216" s="4" t="s">
        <v>4587</v>
      </c>
      <c r="B2216" s="5" t="s">
        <v>4586</v>
      </c>
      <c r="C2216" s="5" t="s">
        <v>2054</v>
      </c>
      <c r="D2216" s="5" t="s">
        <v>524</v>
      </c>
      <c r="E2216" s="5" t="s">
        <v>525</v>
      </c>
      <c r="F2216">
        <f>_xlfn.XLOOKUP(A2216,[1]邦达数据库!$A:$A,[1]邦达数据库!$C:$C)</f>
        <v>8479899790</v>
      </c>
    </row>
    <row r="2217" ht="30" customHeight="1" spans="1:6">
      <c r="A2217" s="2" t="s">
        <v>4588</v>
      </c>
      <c r="B2217" s="3" t="s">
        <v>4586</v>
      </c>
      <c r="C2217" s="3" t="s">
        <v>2054</v>
      </c>
      <c r="D2217" s="3" t="s">
        <v>524</v>
      </c>
      <c r="E2217" s="3" t="s">
        <v>525</v>
      </c>
      <c r="F2217" t="e">
        <f>_xlfn.XLOOKUP(A2217,[1]邦达数据库!$A:$A,[1]邦达数据库!$C:$C)</f>
        <v>#N/A</v>
      </c>
    </row>
    <row r="2218" ht="30" customHeight="1" spans="1:6">
      <c r="A2218" s="4" t="s">
        <v>4589</v>
      </c>
      <c r="B2218" s="5" t="s">
        <v>2050</v>
      </c>
      <c r="C2218" s="5" t="s">
        <v>1467</v>
      </c>
      <c r="D2218" s="5" t="s">
        <v>1915</v>
      </c>
      <c r="E2218" s="5" t="s">
        <v>1916</v>
      </c>
      <c r="F2218" t="e">
        <f>_xlfn.XLOOKUP(A2218,[1]邦达数据库!$A:$A,[1]邦达数据库!$C:$C)</f>
        <v>#N/A</v>
      </c>
    </row>
    <row r="2219" ht="30" customHeight="1" spans="1:6">
      <c r="A2219" s="2" t="s">
        <v>4590</v>
      </c>
      <c r="B2219" s="3" t="s">
        <v>3715</v>
      </c>
      <c r="C2219" s="3" t="s">
        <v>2970</v>
      </c>
      <c r="D2219" s="3" t="s">
        <v>266</v>
      </c>
      <c r="E2219" s="3" t="s">
        <v>267</v>
      </c>
      <c r="F2219" t="e">
        <f>_xlfn.XLOOKUP(A2219,[1]邦达数据库!$A:$A,[1]邦达数据库!$C:$C)</f>
        <v>#N/A</v>
      </c>
    </row>
    <row r="2220" ht="30" customHeight="1" spans="1:6">
      <c r="A2220" s="4" t="s">
        <v>4591</v>
      </c>
      <c r="B2220" s="5" t="s">
        <v>3715</v>
      </c>
      <c r="C2220" s="5" t="s">
        <v>2970</v>
      </c>
      <c r="D2220" s="5" t="s">
        <v>691</v>
      </c>
      <c r="E2220" s="5" t="s">
        <v>692</v>
      </c>
      <c r="F2220" t="e">
        <f>_xlfn.XLOOKUP(A2220,[1]邦达数据库!$A:$A,[1]邦达数据库!$C:$C)</f>
        <v>#N/A</v>
      </c>
    </row>
    <row r="2221" ht="30" customHeight="1" spans="1:6">
      <c r="A2221" s="2" t="s">
        <v>4592</v>
      </c>
      <c r="B2221" s="3" t="s">
        <v>3715</v>
      </c>
      <c r="C2221" s="3" t="s">
        <v>345</v>
      </c>
      <c r="D2221" s="3" t="s">
        <v>271</v>
      </c>
      <c r="E2221" s="3" t="s">
        <v>272</v>
      </c>
      <c r="F2221" t="e">
        <f>_xlfn.XLOOKUP(A2221,[1]邦达数据库!$A:$A,[1]邦达数据库!$C:$C)</f>
        <v>#N/A</v>
      </c>
    </row>
    <row r="2222" ht="30" customHeight="1" spans="1:6">
      <c r="A2222" s="4" t="s">
        <v>4593</v>
      </c>
      <c r="B2222" s="5" t="s">
        <v>3715</v>
      </c>
      <c r="C2222" s="5" t="s">
        <v>345</v>
      </c>
      <c r="D2222" s="5" t="s">
        <v>271</v>
      </c>
      <c r="E2222" s="5" t="s">
        <v>272</v>
      </c>
      <c r="F2222" t="e">
        <f>_xlfn.XLOOKUP(A2222,[1]邦达数据库!$A:$A,[1]邦达数据库!$C:$C)</f>
        <v>#N/A</v>
      </c>
    </row>
    <row r="2223" ht="30" customHeight="1" spans="1:6">
      <c r="A2223" s="2" t="s">
        <v>4594</v>
      </c>
      <c r="B2223" s="3" t="s">
        <v>3715</v>
      </c>
      <c r="C2223" s="3" t="s">
        <v>345</v>
      </c>
      <c r="D2223" s="3" t="s">
        <v>271</v>
      </c>
      <c r="E2223" s="3" t="s">
        <v>272</v>
      </c>
      <c r="F2223" t="e">
        <f>_xlfn.XLOOKUP(A2223,[1]邦达数据库!$A:$A,[1]邦达数据库!$C:$C)</f>
        <v>#N/A</v>
      </c>
    </row>
    <row r="2224" ht="30" customHeight="1" spans="1:6">
      <c r="A2224" s="4" t="s">
        <v>4595</v>
      </c>
      <c r="B2224" s="5" t="s">
        <v>3715</v>
      </c>
      <c r="C2224" s="5" t="s">
        <v>2970</v>
      </c>
      <c r="D2224" s="5" t="s">
        <v>266</v>
      </c>
      <c r="E2224" s="5" t="s">
        <v>267</v>
      </c>
      <c r="F2224" t="e">
        <f>_xlfn.XLOOKUP(A2224,[1]邦达数据库!$A:$A,[1]邦达数据库!$C:$C)</f>
        <v>#N/A</v>
      </c>
    </row>
    <row r="2225" ht="30" customHeight="1" spans="1:6">
      <c r="A2225" s="2" t="s">
        <v>4596</v>
      </c>
      <c r="B2225" s="3" t="s">
        <v>3715</v>
      </c>
      <c r="C2225" s="3" t="s">
        <v>2970</v>
      </c>
      <c r="D2225" s="3" t="s">
        <v>266</v>
      </c>
      <c r="E2225" s="3" t="s">
        <v>267</v>
      </c>
      <c r="F2225" t="e">
        <f>_xlfn.XLOOKUP(A2225,[1]邦达数据库!$A:$A,[1]邦达数据库!$C:$C)</f>
        <v>#N/A</v>
      </c>
    </row>
    <row r="2226" ht="30" customHeight="1" spans="1:6">
      <c r="A2226" s="4" t="s">
        <v>4597</v>
      </c>
      <c r="B2226" s="5" t="s">
        <v>4598</v>
      </c>
      <c r="C2226" s="5" t="s">
        <v>2970</v>
      </c>
      <c r="D2226" s="5" t="s">
        <v>691</v>
      </c>
      <c r="E2226" s="5" t="s">
        <v>692</v>
      </c>
      <c r="F2226" t="e">
        <f>_xlfn.XLOOKUP(A2226,[1]邦达数据库!$A:$A,[1]邦达数据库!$C:$C)</f>
        <v>#N/A</v>
      </c>
    </row>
    <row r="2227" ht="30" customHeight="1" spans="1:6">
      <c r="A2227" s="2" t="s">
        <v>4599</v>
      </c>
      <c r="B2227" s="3" t="s">
        <v>4600</v>
      </c>
      <c r="C2227" s="3" t="s">
        <v>3223</v>
      </c>
      <c r="D2227" s="3" t="s">
        <v>130</v>
      </c>
      <c r="E2227" s="3" t="s">
        <v>131</v>
      </c>
      <c r="F2227" t="e">
        <f>_xlfn.XLOOKUP(A2227,[1]邦达数据库!$A:$A,[1]邦达数据库!$C:$C)</f>
        <v>#N/A</v>
      </c>
    </row>
    <row r="2228" ht="30" customHeight="1" spans="1:6">
      <c r="A2228" s="4" t="s">
        <v>4601</v>
      </c>
      <c r="B2228" s="5" t="s">
        <v>4602</v>
      </c>
      <c r="C2228" s="5" t="s">
        <v>1467</v>
      </c>
      <c r="D2228" s="5" t="s">
        <v>711</v>
      </c>
      <c r="E2228" s="5" t="s">
        <v>712</v>
      </c>
      <c r="F2228" t="e">
        <f>_xlfn.XLOOKUP(A2228,[1]邦达数据库!$A:$A,[1]邦达数据库!$C:$C)</f>
        <v>#N/A</v>
      </c>
    </row>
    <row r="2229" ht="30" customHeight="1" spans="1:6">
      <c r="A2229" s="2" t="s">
        <v>4603</v>
      </c>
      <c r="B2229" s="3" t="s">
        <v>4604</v>
      </c>
      <c r="C2229" s="3" t="s">
        <v>1167</v>
      </c>
      <c r="D2229" s="3" t="s">
        <v>482</v>
      </c>
      <c r="E2229" s="3" t="s">
        <v>483</v>
      </c>
      <c r="F2229" t="e">
        <f>_xlfn.XLOOKUP(A2229,[1]邦达数据库!$A:$A,[1]邦达数据库!$C:$C)</f>
        <v>#N/A</v>
      </c>
    </row>
    <row r="2230" ht="30" customHeight="1" spans="1:6">
      <c r="A2230" s="4" t="s">
        <v>4605</v>
      </c>
      <c r="B2230" s="5" t="s">
        <v>4606</v>
      </c>
      <c r="C2230" s="5" t="s">
        <v>340</v>
      </c>
      <c r="D2230" s="5" t="s">
        <v>1646</v>
      </c>
      <c r="E2230" s="5" t="s">
        <v>1647</v>
      </c>
      <c r="F2230" t="e">
        <f>_xlfn.XLOOKUP(A2230,[1]邦达数据库!$A:$A,[1]邦达数据库!$C:$C)</f>
        <v>#N/A</v>
      </c>
    </row>
    <row r="2231" ht="30" customHeight="1" spans="1:6">
      <c r="A2231" s="2" t="s">
        <v>4607</v>
      </c>
      <c r="B2231" s="3" t="s">
        <v>4606</v>
      </c>
      <c r="C2231" s="3" t="s">
        <v>340</v>
      </c>
      <c r="D2231" s="3" t="s">
        <v>1646</v>
      </c>
      <c r="E2231" s="3" t="s">
        <v>1647</v>
      </c>
      <c r="F2231" t="e">
        <f>_xlfn.XLOOKUP(A2231,[1]邦达数据库!$A:$A,[1]邦达数据库!$C:$C)</f>
        <v>#N/A</v>
      </c>
    </row>
    <row r="2232" ht="30" customHeight="1" spans="1:6">
      <c r="A2232" s="4" t="s">
        <v>4608</v>
      </c>
      <c r="B2232" s="5" t="s">
        <v>4606</v>
      </c>
      <c r="C2232" s="5" t="s">
        <v>340</v>
      </c>
      <c r="D2232" s="5" t="s">
        <v>4609</v>
      </c>
      <c r="E2232" s="5" t="s">
        <v>4610</v>
      </c>
      <c r="F2232" t="e">
        <f>_xlfn.XLOOKUP(A2232,[1]邦达数据库!$A:$A,[1]邦达数据库!$C:$C)</f>
        <v>#N/A</v>
      </c>
    </row>
    <row r="2233" ht="30" customHeight="1" spans="1:6">
      <c r="A2233" s="2" t="s">
        <v>4611</v>
      </c>
      <c r="B2233" s="3" t="s">
        <v>2258</v>
      </c>
      <c r="C2233" s="3" t="s">
        <v>1027</v>
      </c>
      <c r="D2233" s="3" t="s">
        <v>719</v>
      </c>
      <c r="E2233" s="3" t="s">
        <v>720</v>
      </c>
      <c r="F2233" t="e">
        <f>_xlfn.XLOOKUP(A2233,[1]邦达数据库!$A:$A,[1]邦达数据库!$C:$C)</f>
        <v>#N/A</v>
      </c>
    </row>
    <row r="2234" ht="30" customHeight="1" spans="1:6">
      <c r="A2234" s="4" t="s">
        <v>4612</v>
      </c>
      <c r="B2234" s="5" t="s">
        <v>2258</v>
      </c>
      <c r="C2234" s="5" t="s">
        <v>1027</v>
      </c>
      <c r="D2234" s="5" t="s">
        <v>719</v>
      </c>
      <c r="E2234" s="5" t="s">
        <v>720</v>
      </c>
      <c r="F2234" t="e">
        <f>_xlfn.XLOOKUP(A2234,[1]邦达数据库!$A:$A,[1]邦达数据库!$C:$C)</f>
        <v>#N/A</v>
      </c>
    </row>
    <row r="2235" ht="30" customHeight="1" spans="1:6">
      <c r="A2235" s="2" t="s">
        <v>4613</v>
      </c>
      <c r="B2235" s="3" t="s">
        <v>4614</v>
      </c>
      <c r="C2235" s="3" t="s">
        <v>88</v>
      </c>
      <c r="D2235" s="3" t="s">
        <v>3135</v>
      </c>
      <c r="E2235" s="3" t="s">
        <v>3136</v>
      </c>
      <c r="F2235" t="e">
        <f>_xlfn.XLOOKUP(A2235,[1]邦达数据库!$A:$A,[1]邦达数据库!$C:$C)</f>
        <v>#N/A</v>
      </c>
    </row>
    <row r="2236" ht="30" customHeight="1" spans="1:6">
      <c r="A2236" s="4" t="s">
        <v>4615</v>
      </c>
      <c r="B2236" s="5" t="s">
        <v>4614</v>
      </c>
      <c r="C2236" s="5" t="s">
        <v>88</v>
      </c>
      <c r="D2236" s="5" t="s">
        <v>4616</v>
      </c>
      <c r="E2236" s="5" t="s">
        <v>4617</v>
      </c>
      <c r="F2236" t="e">
        <f>_xlfn.XLOOKUP(A2236,[1]邦达数据库!$A:$A,[1]邦达数据库!$C:$C)</f>
        <v>#N/A</v>
      </c>
    </row>
    <row r="2237" ht="30" customHeight="1" spans="1:6">
      <c r="A2237" s="2" t="s">
        <v>4618</v>
      </c>
      <c r="B2237" s="3" t="s">
        <v>4356</v>
      </c>
      <c r="C2237" s="3" t="s">
        <v>4357</v>
      </c>
      <c r="D2237" s="3" t="s">
        <v>794</v>
      </c>
      <c r="E2237" s="3" t="s">
        <v>795</v>
      </c>
      <c r="F2237" t="e">
        <f>_xlfn.XLOOKUP(A2237,[1]邦达数据库!$A:$A,[1]邦达数据库!$C:$C)</f>
        <v>#N/A</v>
      </c>
    </row>
    <row r="2238" ht="30" customHeight="1" spans="1:6">
      <c r="A2238" s="4" t="s">
        <v>4619</v>
      </c>
      <c r="B2238" s="5" t="s">
        <v>4581</v>
      </c>
      <c r="C2238" s="5" t="s">
        <v>1759</v>
      </c>
      <c r="D2238" s="5" t="s">
        <v>4620</v>
      </c>
      <c r="E2238" s="5" t="s">
        <v>4621</v>
      </c>
      <c r="F2238" t="e">
        <f>_xlfn.XLOOKUP(A2238,[1]邦达数据库!$A:$A,[1]邦达数据库!$C:$C)</f>
        <v>#N/A</v>
      </c>
    </row>
    <row r="2239" ht="30" customHeight="1" spans="1:6">
      <c r="A2239" s="2" t="s">
        <v>4622</v>
      </c>
      <c r="B2239" s="3" t="s">
        <v>2141</v>
      </c>
      <c r="C2239" s="3" t="s">
        <v>2142</v>
      </c>
      <c r="D2239" s="3" t="s">
        <v>2253</v>
      </c>
      <c r="E2239" s="3" t="s">
        <v>2254</v>
      </c>
      <c r="F2239" t="e">
        <f>_xlfn.XLOOKUP(A2239,[1]邦达数据库!$A:$A,[1]邦达数据库!$C:$C)</f>
        <v>#N/A</v>
      </c>
    </row>
    <row r="2240" ht="30" customHeight="1" spans="1:6">
      <c r="A2240" s="4" t="s">
        <v>4623</v>
      </c>
      <c r="B2240" s="5" t="s">
        <v>4624</v>
      </c>
      <c r="C2240" s="5" t="s">
        <v>340</v>
      </c>
      <c r="D2240" s="5" t="s">
        <v>4625</v>
      </c>
      <c r="E2240" s="5" t="s">
        <v>4626</v>
      </c>
      <c r="F2240" t="e">
        <f>_xlfn.XLOOKUP(A2240,[1]邦达数据库!$A:$A,[1]邦达数据库!$C:$C)</f>
        <v>#N/A</v>
      </c>
    </row>
    <row r="2241" ht="30" customHeight="1" spans="1:6">
      <c r="A2241" s="2" t="s">
        <v>4627</v>
      </c>
      <c r="B2241" s="3" t="s">
        <v>4628</v>
      </c>
      <c r="C2241" s="3" t="s">
        <v>4629</v>
      </c>
      <c r="D2241" s="3" t="s">
        <v>4630</v>
      </c>
      <c r="E2241" s="3" t="s">
        <v>4631</v>
      </c>
      <c r="F2241" t="e">
        <f>_xlfn.XLOOKUP(A2241,[1]邦达数据库!$A:$A,[1]邦达数据库!$C:$C)</f>
        <v>#N/A</v>
      </c>
    </row>
    <row r="2242" ht="30" customHeight="1" spans="1:6">
      <c r="A2242" s="4" t="s">
        <v>4632</v>
      </c>
      <c r="B2242" s="5" t="s">
        <v>4628</v>
      </c>
      <c r="C2242" s="5" t="s">
        <v>4629</v>
      </c>
      <c r="D2242" s="5" t="s">
        <v>4633</v>
      </c>
      <c r="E2242" s="5" t="s">
        <v>4634</v>
      </c>
      <c r="F2242" t="e">
        <f>_xlfn.XLOOKUP(A2242,[1]邦达数据库!$A:$A,[1]邦达数据库!$C:$C)</f>
        <v>#N/A</v>
      </c>
    </row>
    <row r="2243" ht="30" customHeight="1" spans="1:6">
      <c r="A2243" s="2" t="s">
        <v>4635</v>
      </c>
      <c r="B2243" s="3" t="s">
        <v>4636</v>
      </c>
      <c r="C2243" s="3" t="s">
        <v>340</v>
      </c>
      <c r="D2243" s="3" t="s">
        <v>117</v>
      </c>
      <c r="E2243" s="3" t="s">
        <v>118</v>
      </c>
      <c r="F2243" t="e">
        <f>_xlfn.XLOOKUP(A2243,[1]邦达数据库!$A:$A,[1]邦达数据库!$C:$C)</f>
        <v>#N/A</v>
      </c>
    </row>
    <row r="2244" ht="30" customHeight="1" spans="1:6">
      <c r="A2244" s="4" t="s">
        <v>4637</v>
      </c>
      <c r="B2244" s="5" t="s">
        <v>1552</v>
      </c>
      <c r="C2244" s="5" t="s">
        <v>4638</v>
      </c>
      <c r="D2244" s="5" t="s">
        <v>4639</v>
      </c>
      <c r="E2244" s="5" t="s">
        <v>4640</v>
      </c>
      <c r="F2244" t="e">
        <f>_xlfn.XLOOKUP(A2244,[1]邦达数据库!$A:$A,[1]邦达数据库!$C:$C)</f>
        <v>#N/A</v>
      </c>
    </row>
    <row r="2245" ht="30" customHeight="1" spans="1:6">
      <c r="A2245" s="2" t="s">
        <v>4641</v>
      </c>
      <c r="B2245" s="3" t="s">
        <v>4642</v>
      </c>
      <c r="C2245" s="3" t="s">
        <v>3236</v>
      </c>
      <c r="D2245" s="3" t="s">
        <v>1312</v>
      </c>
      <c r="E2245" s="3" t="s">
        <v>1313</v>
      </c>
      <c r="F2245" t="e">
        <f>_xlfn.XLOOKUP(A2245,[1]邦达数据库!$A:$A,[1]邦达数据库!$C:$C)</f>
        <v>#N/A</v>
      </c>
    </row>
    <row r="2246" ht="30" customHeight="1" spans="1:6">
      <c r="A2246" s="4" t="s">
        <v>4643</v>
      </c>
      <c r="B2246" s="5" t="s">
        <v>731</v>
      </c>
      <c r="C2246" s="5" t="s">
        <v>3583</v>
      </c>
      <c r="D2246" s="5" t="s">
        <v>785</v>
      </c>
      <c r="E2246" s="5" t="s">
        <v>786</v>
      </c>
      <c r="F2246" t="e">
        <f>_xlfn.XLOOKUP(A2246,[1]邦达数据库!$A:$A,[1]邦达数据库!$C:$C)</f>
        <v>#N/A</v>
      </c>
    </row>
    <row r="2247" ht="30" customHeight="1" spans="1:6">
      <c r="A2247" s="2" t="s">
        <v>4644</v>
      </c>
      <c r="B2247" s="3" t="s">
        <v>731</v>
      </c>
      <c r="C2247" s="3" t="s">
        <v>1447</v>
      </c>
      <c r="D2247" s="3" t="s">
        <v>404</v>
      </c>
      <c r="E2247" s="3" t="s">
        <v>405</v>
      </c>
      <c r="F2247" t="e">
        <f>_xlfn.XLOOKUP(A2247,[1]邦达数据库!$A:$A,[1]邦达数据库!$C:$C)</f>
        <v>#N/A</v>
      </c>
    </row>
    <row r="2248" ht="30" customHeight="1" spans="1:6">
      <c r="A2248" s="4" t="s">
        <v>4645</v>
      </c>
      <c r="B2248" s="5" t="s">
        <v>1560</v>
      </c>
      <c r="C2248" s="5" t="s">
        <v>4646</v>
      </c>
      <c r="D2248" s="5" t="s">
        <v>799</v>
      </c>
      <c r="E2248" s="5" t="s">
        <v>800</v>
      </c>
      <c r="F2248" t="e">
        <f>_xlfn.XLOOKUP(A2248,[1]邦达数据库!$A:$A,[1]邦达数据库!$C:$C)</f>
        <v>#N/A</v>
      </c>
    </row>
    <row r="2249" ht="30" customHeight="1" spans="1:6">
      <c r="A2249" s="2" t="s">
        <v>4647</v>
      </c>
      <c r="B2249" s="3" t="s">
        <v>1560</v>
      </c>
      <c r="C2249" s="3" t="s">
        <v>4646</v>
      </c>
      <c r="D2249" s="3" t="s">
        <v>4297</v>
      </c>
      <c r="E2249" s="3" t="s">
        <v>4298</v>
      </c>
      <c r="F2249" t="e">
        <f>_xlfn.XLOOKUP(A2249,[1]邦达数据库!$A:$A,[1]邦达数据库!$C:$C)</f>
        <v>#N/A</v>
      </c>
    </row>
    <row r="2250" ht="30" customHeight="1" spans="1:6">
      <c r="A2250" s="4" t="s">
        <v>4648</v>
      </c>
      <c r="B2250" s="5" t="s">
        <v>1560</v>
      </c>
      <c r="C2250" s="5" t="s">
        <v>1561</v>
      </c>
      <c r="D2250" s="5" t="s">
        <v>2420</v>
      </c>
      <c r="E2250" s="5" t="s">
        <v>2421</v>
      </c>
      <c r="F2250" t="e">
        <f>_xlfn.XLOOKUP(A2250,[1]邦达数据库!$A:$A,[1]邦达数据库!$C:$C)</f>
        <v>#N/A</v>
      </c>
    </row>
    <row r="2251" ht="30" customHeight="1" spans="1:6">
      <c r="A2251" s="2" t="s">
        <v>4649</v>
      </c>
      <c r="B2251" s="3" t="s">
        <v>1560</v>
      </c>
      <c r="C2251" s="3" t="s">
        <v>4646</v>
      </c>
      <c r="D2251" s="3" t="s">
        <v>4297</v>
      </c>
      <c r="E2251" s="3" t="s">
        <v>4298</v>
      </c>
      <c r="F2251" t="e">
        <f>_xlfn.XLOOKUP(A2251,[1]邦达数据库!$A:$A,[1]邦达数据库!$C:$C)</f>
        <v>#N/A</v>
      </c>
    </row>
    <row r="2252" ht="30" customHeight="1" spans="1:6">
      <c r="A2252" s="4" t="s">
        <v>4650</v>
      </c>
      <c r="B2252" s="5" t="s">
        <v>1560</v>
      </c>
      <c r="C2252" s="5" t="s">
        <v>4646</v>
      </c>
      <c r="D2252" s="5" t="s">
        <v>4651</v>
      </c>
      <c r="E2252" s="5" t="s">
        <v>4652</v>
      </c>
      <c r="F2252" t="e">
        <f>_xlfn.XLOOKUP(A2252,[1]邦达数据库!$A:$A,[1]邦达数据库!$C:$C)</f>
        <v>#N/A</v>
      </c>
    </row>
    <row r="2253" ht="30" customHeight="1" spans="1:6">
      <c r="A2253" s="2" t="s">
        <v>4653</v>
      </c>
      <c r="B2253" s="3" t="s">
        <v>1560</v>
      </c>
      <c r="C2253" s="3" t="s">
        <v>1561</v>
      </c>
      <c r="D2253" s="3" t="s">
        <v>1028</v>
      </c>
      <c r="E2253" s="3" t="s">
        <v>1029</v>
      </c>
      <c r="F2253" t="e">
        <f>_xlfn.XLOOKUP(A2253,[1]邦达数据库!$A:$A,[1]邦达数据库!$C:$C)</f>
        <v>#N/A</v>
      </c>
    </row>
    <row r="2254" ht="30" customHeight="1" spans="1:6">
      <c r="A2254" s="4" t="s">
        <v>4654</v>
      </c>
      <c r="B2254" s="5" t="s">
        <v>3020</v>
      </c>
      <c r="C2254" s="5" t="s">
        <v>4655</v>
      </c>
      <c r="D2254" s="5" t="s">
        <v>112</v>
      </c>
      <c r="E2254" s="5" t="s">
        <v>113</v>
      </c>
      <c r="F2254" t="e">
        <f>_xlfn.XLOOKUP(A2254,[1]邦达数据库!$A:$A,[1]邦达数据库!$C:$C)</f>
        <v>#N/A</v>
      </c>
    </row>
    <row r="2255" ht="30" customHeight="1" spans="1:6">
      <c r="A2255" s="2" t="s">
        <v>4656</v>
      </c>
      <c r="B2255" s="3" t="s">
        <v>3020</v>
      </c>
      <c r="C2255" s="3" t="s">
        <v>3021</v>
      </c>
      <c r="D2255" s="3" t="s">
        <v>112</v>
      </c>
      <c r="E2255" s="3" t="s">
        <v>113</v>
      </c>
      <c r="F2255" t="e">
        <f>_xlfn.XLOOKUP(A2255,[1]邦达数据库!$A:$A,[1]邦达数据库!$C:$C)</f>
        <v>#N/A</v>
      </c>
    </row>
    <row r="2256" ht="30" customHeight="1" spans="1:6">
      <c r="A2256" s="4" t="s">
        <v>4657</v>
      </c>
      <c r="B2256" s="5" t="s">
        <v>3020</v>
      </c>
      <c r="C2256" s="5" t="s">
        <v>4655</v>
      </c>
      <c r="D2256" s="5" t="s">
        <v>112</v>
      </c>
      <c r="E2256" s="5" t="s">
        <v>113</v>
      </c>
      <c r="F2256" t="e">
        <f>_xlfn.XLOOKUP(A2256,[1]邦达数据库!$A:$A,[1]邦达数据库!$C:$C)</f>
        <v>#N/A</v>
      </c>
    </row>
    <row r="2257" ht="30" customHeight="1" spans="1:6">
      <c r="A2257" s="2" t="s">
        <v>4658</v>
      </c>
      <c r="B2257" s="3" t="s">
        <v>3020</v>
      </c>
      <c r="C2257" s="3" t="s">
        <v>4655</v>
      </c>
      <c r="D2257" s="3" t="s">
        <v>112</v>
      </c>
      <c r="E2257" s="3" t="s">
        <v>113</v>
      </c>
      <c r="F2257" t="e">
        <f>_xlfn.XLOOKUP(A2257,[1]邦达数据库!$A:$A,[1]邦达数据库!$C:$C)</f>
        <v>#N/A</v>
      </c>
    </row>
    <row r="2258" ht="30" customHeight="1" spans="1:6">
      <c r="A2258" s="4" t="s">
        <v>4659</v>
      </c>
      <c r="B2258" s="5" t="s">
        <v>4660</v>
      </c>
      <c r="C2258" s="5" t="s">
        <v>4661</v>
      </c>
      <c r="D2258" s="5" t="s">
        <v>170</v>
      </c>
      <c r="E2258" s="5" t="s">
        <v>171</v>
      </c>
      <c r="F2258" t="e">
        <f>_xlfn.XLOOKUP(A2258,[1]邦达数据库!$A:$A,[1]邦达数据库!$C:$C)</f>
        <v>#N/A</v>
      </c>
    </row>
    <row r="2259" ht="30" customHeight="1" spans="1:6">
      <c r="A2259" s="2" t="s">
        <v>4662</v>
      </c>
      <c r="B2259" s="3" t="s">
        <v>4663</v>
      </c>
      <c r="C2259" s="3" t="s">
        <v>4664</v>
      </c>
      <c r="D2259" s="3" t="s">
        <v>170</v>
      </c>
      <c r="E2259" s="3" t="s">
        <v>171</v>
      </c>
      <c r="F2259" t="e">
        <f>_xlfn.XLOOKUP(A2259,[1]邦达数据库!$A:$A,[1]邦达数据库!$C:$C)</f>
        <v>#N/A</v>
      </c>
    </row>
    <row r="2260" ht="30" customHeight="1" spans="1:6">
      <c r="A2260" s="4" t="s">
        <v>4665</v>
      </c>
      <c r="B2260" s="5" t="s">
        <v>4663</v>
      </c>
      <c r="C2260" s="5" t="s">
        <v>4664</v>
      </c>
      <c r="D2260" s="5" t="s">
        <v>4666</v>
      </c>
      <c r="E2260" s="5" t="s">
        <v>4667</v>
      </c>
      <c r="F2260" t="e">
        <f>_xlfn.XLOOKUP(A2260,[1]邦达数据库!$A:$A,[1]邦达数据库!$C:$C)</f>
        <v>#N/A</v>
      </c>
    </row>
    <row r="2261" ht="30" customHeight="1" spans="1:6">
      <c r="A2261" s="2" t="s">
        <v>4668</v>
      </c>
      <c r="B2261" s="3" t="s">
        <v>4669</v>
      </c>
      <c r="C2261" s="3" t="s">
        <v>2054</v>
      </c>
      <c r="D2261" s="3" t="s">
        <v>33</v>
      </c>
      <c r="E2261" s="3" t="s">
        <v>34</v>
      </c>
      <c r="F2261" t="e">
        <f>_xlfn.XLOOKUP(A2261,[1]邦达数据库!$A:$A,[1]邦达数据库!$C:$C)</f>
        <v>#N/A</v>
      </c>
    </row>
    <row r="2262" ht="30" customHeight="1" spans="1:6">
      <c r="A2262" s="4" t="s">
        <v>4670</v>
      </c>
      <c r="B2262" s="5" t="s">
        <v>4671</v>
      </c>
      <c r="C2262" s="5" t="s">
        <v>4672</v>
      </c>
      <c r="D2262" s="5" t="s">
        <v>776</v>
      </c>
      <c r="E2262" s="5" t="s">
        <v>777</v>
      </c>
      <c r="F2262" t="e">
        <f>_xlfn.XLOOKUP(A2262,[1]邦达数据库!$A:$A,[1]邦达数据库!$C:$C)</f>
        <v>#N/A</v>
      </c>
    </row>
    <row r="2263" ht="30" customHeight="1" spans="1:6">
      <c r="A2263" s="2" t="s">
        <v>4673</v>
      </c>
      <c r="B2263" s="3" t="s">
        <v>4674</v>
      </c>
      <c r="C2263" s="3" t="s">
        <v>4672</v>
      </c>
      <c r="D2263" s="3" t="s">
        <v>4675</v>
      </c>
      <c r="E2263" s="3" t="s">
        <v>4676</v>
      </c>
      <c r="F2263" t="e">
        <f>_xlfn.XLOOKUP(A2263,[1]邦达数据库!$A:$A,[1]邦达数据库!$C:$C)</f>
        <v>#N/A</v>
      </c>
    </row>
    <row r="2264" ht="30" customHeight="1" spans="1:6">
      <c r="A2264" s="4" t="s">
        <v>4677</v>
      </c>
      <c r="B2264" s="5" t="s">
        <v>4678</v>
      </c>
      <c r="C2264" s="5" t="s">
        <v>4672</v>
      </c>
      <c r="D2264" s="5" t="s">
        <v>4679</v>
      </c>
      <c r="E2264" s="5" t="s">
        <v>4680</v>
      </c>
      <c r="F2264" t="e">
        <f>_xlfn.XLOOKUP(A2264,[1]邦达数据库!$A:$A,[1]邦达数据库!$C:$C)</f>
        <v>#N/A</v>
      </c>
    </row>
    <row r="2265" ht="30" customHeight="1" spans="1:6">
      <c r="A2265" s="2" t="s">
        <v>4681</v>
      </c>
      <c r="B2265" s="3" t="s">
        <v>4249</v>
      </c>
      <c r="C2265" s="3" t="s">
        <v>571</v>
      </c>
      <c r="D2265" s="3" t="s">
        <v>3960</v>
      </c>
      <c r="E2265" s="3" t="s">
        <v>3961</v>
      </c>
      <c r="F2265" t="e">
        <f>_xlfn.XLOOKUP(A2265,[1]邦达数据库!$A:$A,[1]邦达数据库!$C:$C)</f>
        <v>#N/A</v>
      </c>
    </row>
    <row r="2266" ht="30" customHeight="1" spans="1:6">
      <c r="A2266" s="4" t="s">
        <v>4682</v>
      </c>
      <c r="B2266" s="5" t="s">
        <v>4683</v>
      </c>
      <c r="C2266" s="5" t="s">
        <v>4509</v>
      </c>
      <c r="D2266" s="5" t="s">
        <v>2595</v>
      </c>
      <c r="E2266" s="5" t="s">
        <v>2596</v>
      </c>
      <c r="F2266" t="e">
        <f>_xlfn.XLOOKUP(A2266,[1]邦达数据库!$A:$A,[1]邦达数据库!$C:$C)</f>
        <v>#N/A</v>
      </c>
    </row>
    <row r="2267" ht="30" customHeight="1" spans="1:6">
      <c r="A2267" s="2" t="s">
        <v>4684</v>
      </c>
      <c r="B2267" s="3" t="s">
        <v>4683</v>
      </c>
      <c r="C2267" s="3" t="s">
        <v>4509</v>
      </c>
      <c r="D2267" s="3" t="s">
        <v>28</v>
      </c>
      <c r="E2267" s="3" t="s">
        <v>29</v>
      </c>
      <c r="F2267" t="e">
        <f>_xlfn.XLOOKUP(A2267,[1]邦达数据库!$A:$A,[1]邦达数据库!$C:$C)</f>
        <v>#N/A</v>
      </c>
    </row>
    <row r="2268" ht="30" customHeight="1" spans="1:6">
      <c r="A2268" s="4" t="s">
        <v>4685</v>
      </c>
      <c r="B2268" s="5" t="s">
        <v>1573</v>
      </c>
      <c r="C2268" s="5" t="s">
        <v>4664</v>
      </c>
      <c r="D2268" s="5" t="s">
        <v>2938</v>
      </c>
      <c r="E2268" s="5" t="s">
        <v>2939</v>
      </c>
      <c r="F2268" t="e">
        <f>_xlfn.XLOOKUP(A2268,[1]邦达数据库!$A:$A,[1]邦达数据库!$C:$C)</f>
        <v>#N/A</v>
      </c>
    </row>
    <row r="2269" ht="30" customHeight="1" spans="1:6">
      <c r="A2269" s="2" t="s">
        <v>4686</v>
      </c>
      <c r="B2269" s="3" t="s">
        <v>4687</v>
      </c>
      <c r="C2269" s="3" t="s">
        <v>3150</v>
      </c>
      <c r="D2269" s="3" t="s">
        <v>4688</v>
      </c>
      <c r="E2269" s="3" t="s">
        <v>4689</v>
      </c>
      <c r="F2269" t="e">
        <f>_xlfn.XLOOKUP(A2269,[1]邦达数据库!$A:$A,[1]邦达数据库!$C:$C)</f>
        <v>#N/A</v>
      </c>
    </row>
    <row r="2270" ht="30" customHeight="1" spans="1:6">
      <c r="A2270" s="4" t="s">
        <v>4690</v>
      </c>
      <c r="B2270" s="5" t="s">
        <v>4691</v>
      </c>
      <c r="C2270" s="5" t="s">
        <v>4692</v>
      </c>
      <c r="D2270" s="5" t="s">
        <v>1389</v>
      </c>
      <c r="E2270" s="5" t="s">
        <v>1390</v>
      </c>
      <c r="F2270" t="e">
        <f>_xlfn.XLOOKUP(A2270,[1]邦达数据库!$A:$A,[1]邦达数据库!$C:$C)</f>
        <v>#N/A</v>
      </c>
    </row>
    <row r="2271" ht="30" customHeight="1" spans="1:6">
      <c r="A2271" s="2" t="s">
        <v>4693</v>
      </c>
      <c r="B2271" s="3" t="s">
        <v>4691</v>
      </c>
      <c r="C2271" s="3" t="s">
        <v>4692</v>
      </c>
      <c r="D2271" s="3" t="s">
        <v>4694</v>
      </c>
      <c r="E2271" s="3" t="s">
        <v>4695</v>
      </c>
      <c r="F2271" t="e">
        <f>_xlfn.XLOOKUP(A2271,[1]邦达数据库!$A:$A,[1]邦达数据库!$C:$C)</f>
        <v>#N/A</v>
      </c>
    </row>
    <row r="2272" ht="30" customHeight="1" spans="1:6">
      <c r="A2272" s="4" t="s">
        <v>4696</v>
      </c>
      <c r="B2272" s="5" t="s">
        <v>731</v>
      </c>
      <c r="C2272" s="5" t="s">
        <v>1447</v>
      </c>
      <c r="D2272" s="5" t="s">
        <v>1655</v>
      </c>
      <c r="E2272" s="5" t="s">
        <v>1656</v>
      </c>
      <c r="F2272" t="e">
        <f>_xlfn.XLOOKUP(A2272,[1]邦达数据库!$A:$A,[1]邦达数据库!$C:$C)</f>
        <v>#N/A</v>
      </c>
    </row>
    <row r="2273" ht="30" customHeight="1" spans="1:6">
      <c r="A2273" s="2" t="s">
        <v>4697</v>
      </c>
      <c r="B2273" s="3" t="s">
        <v>731</v>
      </c>
      <c r="C2273" s="3" t="s">
        <v>1447</v>
      </c>
      <c r="D2273" s="3" t="s">
        <v>404</v>
      </c>
      <c r="E2273" s="3" t="s">
        <v>405</v>
      </c>
      <c r="F2273" t="str">
        <f>_xlfn.XLOOKUP(A2273,[1]邦达数据库!$A:$A,[1]邦达数据库!$C:$C)</f>
        <v>8443.39.0000</v>
      </c>
    </row>
    <row r="2274" ht="30" customHeight="1" spans="1:6">
      <c r="A2274" s="4" t="s">
        <v>4698</v>
      </c>
      <c r="B2274" s="5" t="s">
        <v>4687</v>
      </c>
      <c r="C2274" s="5" t="s">
        <v>3150</v>
      </c>
      <c r="D2274" s="5" t="s">
        <v>223</v>
      </c>
      <c r="E2274" s="5" t="s">
        <v>224</v>
      </c>
      <c r="F2274" t="e">
        <f>_xlfn.XLOOKUP(A2274,[1]邦达数据库!$A:$A,[1]邦达数据库!$C:$C)</f>
        <v>#N/A</v>
      </c>
    </row>
    <row r="2275" ht="30" customHeight="1" spans="1:6">
      <c r="A2275" s="2" t="s">
        <v>4699</v>
      </c>
      <c r="B2275" s="3" t="s">
        <v>4700</v>
      </c>
      <c r="C2275" s="3" t="s">
        <v>4701</v>
      </c>
      <c r="D2275" s="3" t="s">
        <v>276</v>
      </c>
      <c r="E2275" s="3" t="s">
        <v>277</v>
      </c>
      <c r="F2275" t="e">
        <f>_xlfn.XLOOKUP(A2275,[1]邦达数据库!$A:$A,[1]邦达数据库!$C:$C)</f>
        <v>#N/A</v>
      </c>
    </row>
    <row r="2276" ht="30" customHeight="1" spans="1:6">
      <c r="A2276" s="4" t="s">
        <v>4702</v>
      </c>
      <c r="B2276" s="5" t="s">
        <v>4700</v>
      </c>
      <c r="C2276" s="5" t="s">
        <v>4701</v>
      </c>
      <c r="D2276" s="5" t="s">
        <v>9</v>
      </c>
      <c r="E2276" s="5" t="s">
        <v>10</v>
      </c>
      <c r="F2276" t="e">
        <f>_xlfn.XLOOKUP(A2276,[1]邦达数据库!$A:$A,[1]邦达数据库!$C:$C)</f>
        <v>#N/A</v>
      </c>
    </row>
    <row r="2277" ht="30" customHeight="1" spans="1:6">
      <c r="A2277" s="2" t="s">
        <v>4703</v>
      </c>
      <c r="B2277" s="3" t="s">
        <v>4700</v>
      </c>
      <c r="C2277" s="3" t="s">
        <v>4701</v>
      </c>
      <c r="D2277" s="3" t="s">
        <v>94</v>
      </c>
      <c r="E2277" s="3" t="s">
        <v>95</v>
      </c>
      <c r="F2277" t="e">
        <f>_xlfn.XLOOKUP(A2277,[1]邦达数据库!$A:$A,[1]邦达数据库!$C:$C)</f>
        <v>#N/A</v>
      </c>
    </row>
    <row r="2278" ht="30" customHeight="1" spans="1:6">
      <c r="A2278" s="4" t="s">
        <v>4704</v>
      </c>
      <c r="B2278" s="5" t="s">
        <v>4700</v>
      </c>
      <c r="C2278" s="5" t="s">
        <v>4701</v>
      </c>
      <c r="D2278" s="5" t="s">
        <v>276</v>
      </c>
      <c r="E2278" s="5" t="s">
        <v>277</v>
      </c>
      <c r="F2278" t="e">
        <f>_xlfn.XLOOKUP(A2278,[1]邦达数据库!$A:$A,[1]邦达数据库!$C:$C)</f>
        <v>#N/A</v>
      </c>
    </row>
    <row r="2279" ht="30" customHeight="1" spans="1:6">
      <c r="A2279" s="2" t="s">
        <v>4705</v>
      </c>
      <c r="B2279" s="3" t="s">
        <v>4706</v>
      </c>
      <c r="C2279" s="3" t="s">
        <v>1467</v>
      </c>
      <c r="D2279" s="3" t="s">
        <v>4707</v>
      </c>
      <c r="E2279" s="3" t="s">
        <v>4708</v>
      </c>
      <c r="F2279" t="e">
        <f>_xlfn.XLOOKUP(A2279,[1]邦达数据库!$A:$A,[1]邦达数据库!$C:$C)</f>
        <v>#N/A</v>
      </c>
    </row>
    <row r="2280" ht="30" customHeight="1" spans="1:6">
      <c r="A2280" s="4" t="s">
        <v>4709</v>
      </c>
      <c r="B2280" s="5" t="s">
        <v>4710</v>
      </c>
      <c r="C2280" s="5" t="s">
        <v>2054</v>
      </c>
      <c r="D2280" s="5" t="s">
        <v>428</v>
      </c>
      <c r="E2280" s="5" t="s">
        <v>429</v>
      </c>
      <c r="F2280" t="e">
        <f>_xlfn.XLOOKUP(A2280,[1]邦达数据库!$A:$A,[1]邦达数据库!$C:$C)</f>
        <v>#N/A</v>
      </c>
    </row>
    <row r="2281" ht="30" customHeight="1" spans="1:6">
      <c r="A2281" s="2" t="s">
        <v>4711</v>
      </c>
      <c r="B2281" s="3" t="s">
        <v>4712</v>
      </c>
      <c r="C2281" s="3" t="s">
        <v>265</v>
      </c>
      <c r="D2281" s="3" t="s">
        <v>1356</v>
      </c>
      <c r="E2281" s="3" t="s">
        <v>1357</v>
      </c>
      <c r="F2281" t="e">
        <f>_xlfn.XLOOKUP(A2281,[1]邦达数据库!$A:$A,[1]邦达数据库!$C:$C)</f>
        <v>#N/A</v>
      </c>
    </row>
    <row r="2282" ht="30" customHeight="1" spans="1:6">
      <c r="A2282" s="4" t="s">
        <v>4713</v>
      </c>
      <c r="B2282" s="5" t="s">
        <v>4628</v>
      </c>
      <c r="C2282" s="5" t="s">
        <v>4629</v>
      </c>
      <c r="D2282" s="5" t="s">
        <v>992</v>
      </c>
      <c r="E2282" s="5" t="s">
        <v>993</v>
      </c>
      <c r="F2282" t="e">
        <f>_xlfn.XLOOKUP(A2282,[1]邦达数据库!$A:$A,[1]邦达数据库!$C:$C)</f>
        <v>#N/A</v>
      </c>
    </row>
    <row r="2283" ht="30" customHeight="1" spans="1:6">
      <c r="A2283" s="2" t="s">
        <v>4714</v>
      </c>
      <c r="B2283" s="3" t="s">
        <v>4628</v>
      </c>
      <c r="C2283" s="3" t="s">
        <v>4629</v>
      </c>
      <c r="D2283" s="3" t="s">
        <v>1890</v>
      </c>
      <c r="E2283" s="3" t="s">
        <v>1891</v>
      </c>
      <c r="F2283" t="e">
        <f>_xlfn.XLOOKUP(A2283,[1]邦达数据库!$A:$A,[1]邦达数据库!$C:$C)</f>
        <v>#N/A</v>
      </c>
    </row>
    <row r="2284" ht="30" customHeight="1" spans="1:6">
      <c r="A2284" s="4" t="s">
        <v>4715</v>
      </c>
      <c r="B2284" s="5" t="s">
        <v>1623</v>
      </c>
      <c r="C2284" s="5" t="s">
        <v>1631</v>
      </c>
      <c r="D2284" s="5" t="s">
        <v>217</v>
      </c>
      <c r="E2284" s="5" t="s">
        <v>218</v>
      </c>
      <c r="F2284" t="e">
        <f>_xlfn.XLOOKUP(A2284,[1]邦达数据库!$A:$A,[1]邦达数据库!$C:$C)</f>
        <v>#N/A</v>
      </c>
    </row>
    <row r="2285" ht="30" customHeight="1" spans="1:6">
      <c r="A2285" s="2" t="s">
        <v>4716</v>
      </c>
      <c r="B2285" s="3" t="s">
        <v>1623</v>
      </c>
      <c r="C2285" s="3" t="s">
        <v>1631</v>
      </c>
      <c r="D2285" s="3" t="s">
        <v>217</v>
      </c>
      <c r="E2285" s="3" t="s">
        <v>218</v>
      </c>
      <c r="F2285" t="e">
        <f>_xlfn.XLOOKUP(A2285,[1]邦达数据库!$A:$A,[1]邦达数据库!$C:$C)</f>
        <v>#N/A</v>
      </c>
    </row>
    <row r="2286" ht="30" customHeight="1" spans="1:6">
      <c r="A2286" s="4" t="s">
        <v>4717</v>
      </c>
      <c r="B2286" s="5" t="s">
        <v>1630</v>
      </c>
      <c r="C2286" s="5" t="s">
        <v>1631</v>
      </c>
      <c r="D2286" s="5" t="s">
        <v>3343</v>
      </c>
      <c r="E2286" s="5" t="s">
        <v>3344</v>
      </c>
      <c r="F2286" t="e">
        <f>_xlfn.XLOOKUP(A2286,[1]邦达数据库!$A:$A,[1]邦达数据库!$C:$C)</f>
        <v>#N/A</v>
      </c>
    </row>
    <row r="2287" ht="30" customHeight="1" spans="1:6">
      <c r="A2287" s="2" t="s">
        <v>4718</v>
      </c>
      <c r="B2287" s="3" t="s">
        <v>4719</v>
      </c>
      <c r="C2287" s="3" t="s">
        <v>2386</v>
      </c>
      <c r="D2287" s="3" t="s">
        <v>38</v>
      </c>
      <c r="E2287" s="3" t="s">
        <v>39</v>
      </c>
      <c r="F2287" t="e">
        <f>_xlfn.XLOOKUP(A2287,[1]邦达数据库!$A:$A,[1]邦达数据库!$C:$C)</f>
        <v>#N/A</v>
      </c>
    </row>
    <row r="2288" ht="30" customHeight="1" spans="1:6">
      <c r="A2288" s="4" t="s">
        <v>4720</v>
      </c>
      <c r="B2288" s="5" t="s">
        <v>4721</v>
      </c>
      <c r="C2288" s="5" t="s">
        <v>42</v>
      </c>
      <c r="D2288" s="5" t="s">
        <v>1000</v>
      </c>
      <c r="E2288" s="5" t="s">
        <v>1001</v>
      </c>
      <c r="F2288" t="e">
        <f>_xlfn.XLOOKUP(A2288,[1]邦达数据库!$A:$A,[1]邦达数据库!$C:$C)</f>
        <v>#N/A</v>
      </c>
    </row>
    <row r="2289" ht="30" customHeight="1" spans="1:6">
      <c r="A2289" s="2" t="s">
        <v>4722</v>
      </c>
      <c r="B2289" s="3" t="s">
        <v>4721</v>
      </c>
      <c r="C2289" s="3" t="s">
        <v>42</v>
      </c>
      <c r="D2289" s="3" t="s">
        <v>3788</v>
      </c>
      <c r="E2289" s="3" t="s">
        <v>3789</v>
      </c>
      <c r="F2289" t="e">
        <f>_xlfn.XLOOKUP(A2289,[1]邦达数据库!$A:$A,[1]邦达数据库!$C:$C)</f>
        <v>#N/A</v>
      </c>
    </row>
    <row r="2290" ht="30" customHeight="1" spans="1:6">
      <c r="A2290" s="4" t="s">
        <v>4723</v>
      </c>
      <c r="B2290" s="5" t="s">
        <v>4724</v>
      </c>
      <c r="C2290" s="5" t="s">
        <v>4725</v>
      </c>
      <c r="D2290" s="5" t="s">
        <v>1369</v>
      </c>
      <c r="E2290" s="5" t="s">
        <v>1370</v>
      </c>
      <c r="F2290" t="e">
        <f>_xlfn.XLOOKUP(A2290,[1]邦达数据库!$A:$A,[1]邦达数据库!$C:$C)</f>
        <v>#N/A</v>
      </c>
    </row>
    <row r="2291" ht="30" customHeight="1" spans="1:6">
      <c r="A2291" s="2" t="s">
        <v>4726</v>
      </c>
      <c r="B2291" s="3" t="s">
        <v>1643</v>
      </c>
      <c r="C2291" s="3" t="s">
        <v>2725</v>
      </c>
      <c r="D2291" s="3" t="s">
        <v>4727</v>
      </c>
      <c r="E2291" s="3" t="s">
        <v>4728</v>
      </c>
      <c r="F2291" t="e">
        <f>_xlfn.XLOOKUP(A2291,[1]邦达数据库!$A:$A,[1]邦达数据库!$C:$C)</f>
        <v>#N/A</v>
      </c>
    </row>
    <row r="2292" ht="30" customHeight="1" spans="1:6">
      <c r="A2292" s="4" t="s">
        <v>4729</v>
      </c>
      <c r="B2292" s="5" t="s">
        <v>4730</v>
      </c>
      <c r="C2292" s="5" t="s">
        <v>2725</v>
      </c>
      <c r="D2292" s="5" t="s">
        <v>170</v>
      </c>
      <c r="E2292" s="5" t="s">
        <v>171</v>
      </c>
      <c r="F2292" t="e">
        <f>_xlfn.XLOOKUP(A2292,[1]邦达数据库!$A:$A,[1]邦达数据库!$C:$C)</f>
        <v>#N/A</v>
      </c>
    </row>
    <row r="2293" ht="30" customHeight="1" spans="1:6">
      <c r="A2293" s="2" t="s">
        <v>4731</v>
      </c>
      <c r="B2293" s="3" t="s">
        <v>4732</v>
      </c>
      <c r="C2293" s="3" t="s">
        <v>2236</v>
      </c>
      <c r="D2293" s="3" t="s">
        <v>568</v>
      </c>
      <c r="E2293" s="3" t="s">
        <v>569</v>
      </c>
      <c r="F2293" t="e">
        <f>_xlfn.XLOOKUP(A2293,[1]邦达数据库!$A:$A,[1]邦达数据库!$C:$C)</f>
        <v>#N/A</v>
      </c>
    </row>
    <row r="2294" ht="30" customHeight="1" spans="1:6">
      <c r="A2294" s="4" t="s">
        <v>4733</v>
      </c>
      <c r="B2294" s="5" t="s">
        <v>4732</v>
      </c>
      <c r="C2294" s="5" t="s">
        <v>2236</v>
      </c>
      <c r="D2294" s="5" t="s">
        <v>568</v>
      </c>
      <c r="E2294" s="5" t="s">
        <v>569</v>
      </c>
      <c r="F2294" t="e">
        <f>_xlfn.XLOOKUP(A2294,[1]邦达数据库!$A:$A,[1]邦达数据库!$C:$C)</f>
        <v>#N/A</v>
      </c>
    </row>
    <row r="2295" ht="30" customHeight="1" spans="1:6">
      <c r="A2295" s="4" t="s">
        <v>4734</v>
      </c>
      <c r="B2295" s="5" t="s">
        <v>4732</v>
      </c>
      <c r="C2295" s="5" t="s">
        <v>2236</v>
      </c>
      <c r="D2295" s="5" t="s">
        <v>568</v>
      </c>
      <c r="E2295" s="5" t="s">
        <v>569</v>
      </c>
      <c r="F2295" t="e">
        <f>_xlfn.XLOOKUP(A2295,[1]邦达数据库!$A:$A,[1]邦达数据库!$C:$C)</f>
        <v>#N/A</v>
      </c>
    </row>
    <row r="2296" ht="30" customHeight="1" spans="1:6">
      <c r="A2296" s="2" t="s">
        <v>4735</v>
      </c>
      <c r="B2296" s="3" t="s">
        <v>4736</v>
      </c>
      <c r="C2296" s="3" t="s">
        <v>4737</v>
      </c>
      <c r="D2296" s="3" t="s">
        <v>301</v>
      </c>
      <c r="E2296" s="3" t="s">
        <v>302</v>
      </c>
      <c r="F2296" t="e">
        <f>_xlfn.XLOOKUP(A2296,[1]邦达数据库!$A:$A,[1]邦达数据库!$C:$C)</f>
        <v>#N/A</v>
      </c>
    </row>
    <row r="2297" ht="30" customHeight="1" spans="1:6">
      <c r="A2297" s="4" t="s">
        <v>4738</v>
      </c>
      <c r="B2297" s="5" t="s">
        <v>4736</v>
      </c>
      <c r="C2297" s="5" t="s">
        <v>4737</v>
      </c>
      <c r="D2297" s="5" t="s">
        <v>1201</v>
      </c>
      <c r="E2297" s="5" t="s">
        <v>1202</v>
      </c>
      <c r="F2297" t="e">
        <f>_xlfn.XLOOKUP(A2297,[1]邦达数据库!$A:$A,[1]邦达数据库!$C:$C)</f>
        <v>#N/A</v>
      </c>
    </row>
    <row r="2298" ht="30" customHeight="1" spans="1:6">
      <c r="A2298" s="2" t="s">
        <v>4739</v>
      </c>
      <c r="B2298" s="3" t="s">
        <v>2320</v>
      </c>
      <c r="C2298" s="3" t="s">
        <v>221</v>
      </c>
      <c r="D2298" s="3" t="s">
        <v>2083</v>
      </c>
      <c r="E2298" s="3" t="s">
        <v>2084</v>
      </c>
      <c r="F2298" t="e">
        <f>_xlfn.XLOOKUP(A2298,[1]邦达数据库!$A:$A,[1]邦达数据库!$C:$C)</f>
        <v>#N/A</v>
      </c>
    </row>
    <row r="2299" ht="30" customHeight="1" spans="1:6">
      <c r="A2299" s="4" t="s">
        <v>4740</v>
      </c>
      <c r="B2299" s="5" t="s">
        <v>4741</v>
      </c>
      <c r="C2299" s="5" t="s">
        <v>2725</v>
      </c>
      <c r="D2299" s="5" t="s">
        <v>4153</v>
      </c>
      <c r="E2299" s="5" t="s">
        <v>4154</v>
      </c>
      <c r="F2299" t="e">
        <f>_xlfn.XLOOKUP(A2299,[1]邦达数据库!$A:$A,[1]邦达数据库!$C:$C)</f>
        <v>#N/A</v>
      </c>
    </row>
    <row r="2300" ht="30" customHeight="1" spans="1:6">
      <c r="A2300" s="2" t="s">
        <v>4742</v>
      </c>
      <c r="B2300" s="3" t="s">
        <v>4741</v>
      </c>
      <c r="C2300" s="3" t="s">
        <v>2725</v>
      </c>
      <c r="D2300" s="3" t="s">
        <v>1219</v>
      </c>
      <c r="E2300" s="3" t="s">
        <v>1220</v>
      </c>
      <c r="F2300" t="e">
        <f>_xlfn.XLOOKUP(A2300,[1]邦达数据库!$A:$A,[1]邦达数据库!$C:$C)</f>
        <v>#N/A</v>
      </c>
    </row>
    <row r="2301" ht="30" customHeight="1" spans="1:6">
      <c r="A2301" s="4" t="s">
        <v>4743</v>
      </c>
      <c r="B2301" s="5" t="s">
        <v>4741</v>
      </c>
      <c r="C2301" s="5" t="s">
        <v>2725</v>
      </c>
      <c r="D2301" s="5" t="s">
        <v>1222</v>
      </c>
      <c r="E2301" s="5" t="s">
        <v>1223</v>
      </c>
      <c r="F2301" t="e">
        <f>_xlfn.XLOOKUP(A2301,[1]邦达数据库!$A:$A,[1]邦达数据库!$C:$C)</f>
        <v>#N/A</v>
      </c>
    </row>
    <row r="2302" ht="30" customHeight="1" spans="1:6">
      <c r="A2302" s="2" t="s">
        <v>4744</v>
      </c>
      <c r="B2302" s="3" t="s">
        <v>4745</v>
      </c>
      <c r="C2302" s="3" t="s">
        <v>1141</v>
      </c>
      <c r="D2302" s="3" t="s">
        <v>1000</v>
      </c>
      <c r="E2302" s="3" t="s">
        <v>1001</v>
      </c>
      <c r="F2302" t="e">
        <f>_xlfn.XLOOKUP(A2302,[1]邦达数据库!$A:$A,[1]邦达数据库!$C:$C)</f>
        <v>#N/A</v>
      </c>
    </row>
    <row r="2303" ht="30" customHeight="1" spans="1:6">
      <c r="A2303" s="4" t="s">
        <v>4746</v>
      </c>
      <c r="B2303" s="5" t="s">
        <v>4745</v>
      </c>
      <c r="C2303" s="5" t="s">
        <v>1141</v>
      </c>
      <c r="D2303" s="5" t="s">
        <v>124</v>
      </c>
      <c r="E2303" s="5" t="s">
        <v>125</v>
      </c>
      <c r="F2303" t="e">
        <f>_xlfn.XLOOKUP(A2303,[1]邦达数据库!$A:$A,[1]邦达数据库!$C:$C)</f>
        <v>#N/A</v>
      </c>
    </row>
    <row r="2304" ht="30" customHeight="1" spans="1:6">
      <c r="A2304" s="2" t="s">
        <v>4747</v>
      </c>
      <c r="B2304" s="3" t="s">
        <v>4748</v>
      </c>
      <c r="C2304" s="3" t="s">
        <v>1467</v>
      </c>
      <c r="D2304" s="3" t="s">
        <v>4749</v>
      </c>
      <c r="E2304" s="3" t="s">
        <v>4750</v>
      </c>
      <c r="F2304" t="e">
        <f>_xlfn.XLOOKUP(A2304,[1]邦达数据库!$A:$A,[1]邦达数据库!$C:$C)</f>
        <v>#N/A</v>
      </c>
    </row>
    <row r="2305" ht="30" customHeight="1" spans="1:6">
      <c r="A2305" s="4" t="s">
        <v>4751</v>
      </c>
      <c r="B2305" s="5" t="s">
        <v>4752</v>
      </c>
      <c r="C2305" s="5" t="s">
        <v>2995</v>
      </c>
      <c r="D2305" s="5" t="s">
        <v>1244</v>
      </c>
      <c r="E2305" s="5" t="s">
        <v>1245</v>
      </c>
      <c r="F2305" t="e">
        <f>_xlfn.XLOOKUP(A2305,[1]邦达数据库!$A:$A,[1]邦达数据库!$C:$C)</f>
        <v>#N/A</v>
      </c>
    </row>
    <row r="2306" ht="30" customHeight="1" spans="1:6">
      <c r="A2306" s="2" t="s">
        <v>4753</v>
      </c>
      <c r="B2306" s="3" t="s">
        <v>4748</v>
      </c>
      <c r="C2306" s="3" t="s">
        <v>1467</v>
      </c>
      <c r="D2306" s="3" t="s">
        <v>314</v>
      </c>
      <c r="E2306" s="3" t="s">
        <v>315</v>
      </c>
      <c r="F2306" t="e">
        <f>_xlfn.XLOOKUP(A2306,[1]邦达数据库!$A:$A,[1]邦达数据库!$C:$C)</f>
        <v>#N/A</v>
      </c>
    </row>
    <row r="2307" ht="30" customHeight="1" spans="1:6">
      <c r="A2307" s="4" t="s">
        <v>4754</v>
      </c>
      <c r="B2307" s="5" t="s">
        <v>4748</v>
      </c>
      <c r="C2307" s="5" t="s">
        <v>1467</v>
      </c>
      <c r="D2307" s="5" t="s">
        <v>4755</v>
      </c>
      <c r="E2307" s="5" t="s">
        <v>4756</v>
      </c>
      <c r="F2307" t="e">
        <f>_xlfn.XLOOKUP(A2307,[1]邦达数据库!$A:$A,[1]邦达数据库!$C:$C)</f>
        <v>#N/A</v>
      </c>
    </row>
    <row r="2308" ht="30" customHeight="1" spans="1:6">
      <c r="A2308" s="2" t="s">
        <v>4757</v>
      </c>
      <c r="B2308" s="3" t="s">
        <v>1686</v>
      </c>
      <c r="C2308" s="3" t="s">
        <v>571</v>
      </c>
      <c r="D2308" s="3" t="s">
        <v>1655</v>
      </c>
      <c r="E2308" s="3" t="s">
        <v>1656</v>
      </c>
      <c r="F2308" t="str">
        <f>_xlfn.XLOOKUP(A2308,[1]邦达数据库!$A:$A,[1]邦达数据库!$C:$C)</f>
        <v>8425.42.0000</v>
      </c>
    </row>
    <row r="2309" ht="30" customHeight="1" spans="1:6">
      <c r="A2309" s="4" t="s">
        <v>4758</v>
      </c>
      <c r="B2309" s="5" t="s">
        <v>4759</v>
      </c>
      <c r="C2309" s="5" t="s">
        <v>571</v>
      </c>
      <c r="D2309" s="5" t="s">
        <v>1655</v>
      </c>
      <c r="E2309" s="5" t="s">
        <v>1656</v>
      </c>
      <c r="F2309" t="e">
        <f>_xlfn.XLOOKUP(A2309,[1]邦达数据库!$A:$A,[1]邦达数据库!$C:$C)</f>
        <v>#N/A</v>
      </c>
    </row>
    <row r="2310" ht="30" customHeight="1" spans="1:6">
      <c r="A2310" s="2" t="s">
        <v>4760</v>
      </c>
      <c r="B2310" s="3" t="s">
        <v>1686</v>
      </c>
      <c r="C2310" s="3" t="s">
        <v>571</v>
      </c>
      <c r="D2310" s="3" t="s">
        <v>404</v>
      </c>
      <c r="E2310" s="3" t="s">
        <v>405</v>
      </c>
      <c r="F2310" t="str">
        <f>_xlfn.XLOOKUP(A2310,[1]邦达数据库!$A:$A,[1]邦达数据库!$C:$C)</f>
        <v>8425.42.0000</v>
      </c>
    </row>
    <row r="2311" ht="30" customHeight="1" spans="1:6">
      <c r="A2311" s="4" t="s">
        <v>4761</v>
      </c>
      <c r="B2311" s="5" t="s">
        <v>180</v>
      </c>
      <c r="C2311" s="5" t="s">
        <v>443</v>
      </c>
      <c r="D2311" s="5" t="s">
        <v>2743</v>
      </c>
      <c r="E2311" s="5" t="s">
        <v>2744</v>
      </c>
      <c r="F2311" t="e">
        <f>_xlfn.XLOOKUP(A2311,[1]邦达数据库!$A:$A,[1]邦达数据库!$C:$C)</f>
        <v>#N/A</v>
      </c>
    </row>
    <row r="2312" ht="30" customHeight="1" spans="1:6">
      <c r="A2312" s="2" t="s">
        <v>4762</v>
      </c>
      <c r="B2312" s="3" t="s">
        <v>4763</v>
      </c>
      <c r="C2312" s="3" t="s">
        <v>88</v>
      </c>
      <c r="D2312" s="3" t="s">
        <v>4764</v>
      </c>
      <c r="E2312" s="3" t="s">
        <v>4765</v>
      </c>
      <c r="F2312" t="e">
        <f>_xlfn.XLOOKUP(A2312,[1]邦达数据库!$A:$A,[1]邦达数据库!$C:$C)</f>
        <v>#N/A</v>
      </c>
    </row>
    <row r="2313" ht="30" customHeight="1" spans="1:6">
      <c r="A2313" s="4" t="s">
        <v>4766</v>
      </c>
      <c r="B2313" s="5" t="s">
        <v>4767</v>
      </c>
      <c r="C2313" s="5" t="s">
        <v>340</v>
      </c>
      <c r="D2313" s="5" t="s">
        <v>170</v>
      </c>
      <c r="E2313" s="5" t="s">
        <v>171</v>
      </c>
      <c r="F2313" t="e">
        <f>_xlfn.XLOOKUP(A2313,[1]邦达数据库!$A:$A,[1]邦达数据库!$C:$C)</f>
        <v>#N/A</v>
      </c>
    </row>
    <row r="2314" ht="30" customHeight="1" spans="1:6">
      <c r="A2314" s="2" t="s">
        <v>4768</v>
      </c>
      <c r="B2314" s="3" t="s">
        <v>4767</v>
      </c>
      <c r="C2314" s="3" t="s">
        <v>340</v>
      </c>
      <c r="D2314" s="3" t="s">
        <v>170</v>
      </c>
      <c r="E2314" s="3" t="s">
        <v>171</v>
      </c>
      <c r="F2314" t="e">
        <f>_xlfn.XLOOKUP(A2314,[1]邦达数据库!$A:$A,[1]邦达数据库!$C:$C)</f>
        <v>#N/A</v>
      </c>
    </row>
    <row r="2315" ht="30" customHeight="1" spans="1:6">
      <c r="A2315" s="4" t="s">
        <v>4769</v>
      </c>
      <c r="B2315" s="5" t="s">
        <v>4770</v>
      </c>
      <c r="C2315" s="5" t="s">
        <v>2054</v>
      </c>
      <c r="D2315" s="5" t="s">
        <v>2784</v>
      </c>
      <c r="E2315" s="5" t="s">
        <v>2785</v>
      </c>
      <c r="F2315" t="e">
        <f>_xlfn.XLOOKUP(A2315,[1]邦达数据库!$A:$A,[1]邦达数据库!$C:$C)</f>
        <v>#N/A</v>
      </c>
    </row>
    <row r="2316" ht="30" customHeight="1" spans="1:6">
      <c r="A2316" s="2" t="s">
        <v>4771</v>
      </c>
      <c r="B2316" s="3" t="s">
        <v>4772</v>
      </c>
      <c r="C2316" s="3" t="s">
        <v>4773</v>
      </c>
      <c r="D2316" s="3" t="s">
        <v>124</v>
      </c>
      <c r="E2316" s="3" t="s">
        <v>125</v>
      </c>
      <c r="F2316" t="e">
        <f>_xlfn.XLOOKUP(A2316,[1]邦达数据库!$A:$A,[1]邦达数据库!$C:$C)</f>
        <v>#N/A</v>
      </c>
    </row>
    <row r="2317" ht="30" customHeight="1" spans="1:6">
      <c r="A2317" s="4" t="s">
        <v>4774</v>
      </c>
      <c r="B2317" s="5" t="s">
        <v>4772</v>
      </c>
      <c r="C2317" s="5" t="s">
        <v>4773</v>
      </c>
      <c r="D2317" s="5" t="s">
        <v>28</v>
      </c>
      <c r="E2317" s="5" t="s">
        <v>29</v>
      </c>
      <c r="F2317" t="e">
        <f>_xlfn.XLOOKUP(A2317,[1]邦达数据库!$A:$A,[1]邦达数据库!$C:$C)</f>
        <v>#N/A</v>
      </c>
    </row>
    <row r="2318" ht="30" customHeight="1" spans="1:6">
      <c r="A2318" s="2" t="s">
        <v>4775</v>
      </c>
      <c r="B2318" s="3" t="s">
        <v>4772</v>
      </c>
      <c r="C2318" s="3" t="s">
        <v>4773</v>
      </c>
      <c r="D2318" s="3" t="s">
        <v>2595</v>
      </c>
      <c r="E2318" s="3" t="s">
        <v>2596</v>
      </c>
      <c r="F2318" t="e">
        <f>_xlfn.XLOOKUP(A2318,[1]邦达数据库!$A:$A,[1]邦达数据库!$C:$C)</f>
        <v>#N/A</v>
      </c>
    </row>
    <row r="2319" ht="30" customHeight="1" spans="1:6">
      <c r="A2319" s="4" t="s">
        <v>4776</v>
      </c>
      <c r="B2319" s="5" t="s">
        <v>4772</v>
      </c>
      <c r="C2319" s="5" t="s">
        <v>4773</v>
      </c>
      <c r="D2319" s="5" t="s">
        <v>1285</v>
      </c>
      <c r="E2319" s="5" t="s">
        <v>1286</v>
      </c>
      <c r="F2319" t="e">
        <f>_xlfn.XLOOKUP(A2319,[1]邦达数据库!$A:$A,[1]邦达数据库!$C:$C)</f>
        <v>#N/A</v>
      </c>
    </row>
    <row r="2320" ht="30" customHeight="1" spans="1:6">
      <c r="A2320" s="2" t="s">
        <v>4777</v>
      </c>
      <c r="B2320" s="3" t="s">
        <v>4772</v>
      </c>
      <c r="C2320" s="3" t="s">
        <v>4773</v>
      </c>
      <c r="D2320" s="3" t="s">
        <v>28</v>
      </c>
      <c r="E2320" s="3" t="s">
        <v>29</v>
      </c>
      <c r="F2320" t="e">
        <f>_xlfn.XLOOKUP(A2320,[1]邦达数据库!$A:$A,[1]邦达数据库!$C:$C)</f>
        <v>#N/A</v>
      </c>
    </row>
    <row r="2321" ht="30" customHeight="1" spans="1:6">
      <c r="A2321" s="4" t="s">
        <v>4778</v>
      </c>
      <c r="B2321" s="5" t="s">
        <v>4772</v>
      </c>
      <c r="C2321" s="5" t="s">
        <v>4773</v>
      </c>
      <c r="D2321" s="5" t="s">
        <v>1057</v>
      </c>
      <c r="E2321" s="5" t="s">
        <v>1058</v>
      </c>
      <c r="F2321" t="e">
        <f>_xlfn.XLOOKUP(A2321,[1]邦达数据库!$A:$A,[1]邦达数据库!$C:$C)</f>
        <v>#N/A</v>
      </c>
    </row>
    <row r="2322" ht="30" customHeight="1" spans="1:6">
      <c r="A2322" s="4" t="s">
        <v>4779</v>
      </c>
      <c r="B2322" s="5" t="s">
        <v>3406</v>
      </c>
      <c r="C2322" s="5" t="s">
        <v>1965</v>
      </c>
      <c r="D2322" s="5" t="s">
        <v>3410</v>
      </c>
      <c r="E2322" s="5" t="s">
        <v>3411</v>
      </c>
      <c r="F2322" t="e">
        <f>_xlfn.XLOOKUP(A2322,[1]邦达数据库!$A:$A,[1]邦达数据库!$C:$C)</f>
        <v>#N/A</v>
      </c>
    </row>
    <row r="2323" ht="30" customHeight="1" spans="1:6">
      <c r="A2323" s="2" t="s">
        <v>4780</v>
      </c>
      <c r="B2323" s="3" t="s">
        <v>4781</v>
      </c>
      <c r="C2323" s="3" t="s">
        <v>63</v>
      </c>
      <c r="D2323" s="3" t="s">
        <v>521</v>
      </c>
      <c r="E2323" s="3" t="s">
        <v>522</v>
      </c>
      <c r="F2323" t="e">
        <f>_xlfn.XLOOKUP(A2323,[1]邦达数据库!$A:$A,[1]邦达数据库!$C:$C)</f>
        <v>#N/A</v>
      </c>
    </row>
    <row r="2324" ht="30" customHeight="1" spans="1:6">
      <c r="A2324" s="4" t="s">
        <v>4782</v>
      </c>
      <c r="B2324" s="5" t="s">
        <v>4781</v>
      </c>
      <c r="C2324" s="5" t="s">
        <v>63</v>
      </c>
      <c r="D2324" s="5" t="s">
        <v>521</v>
      </c>
      <c r="E2324" s="5" t="s">
        <v>522</v>
      </c>
      <c r="F2324" t="e">
        <f>_xlfn.XLOOKUP(A2324,[1]邦达数据库!$A:$A,[1]邦达数据库!$C:$C)</f>
        <v>#N/A</v>
      </c>
    </row>
    <row r="2325" ht="30" customHeight="1" spans="1:6">
      <c r="A2325" s="2" t="s">
        <v>4783</v>
      </c>
      <c r="B2325" s="3" t="s">
        <v>283</v>
      </c>
      <c r="C2325" s="3" t="s">
        <v>284</v>
      </c>
      <c r="D2325" s="3" t="s">
        <v>4784</v>
      </c>
      <c r="E2325" s="3" t="s">
        <v>4785</v>
      </c>
      <c r="F2325" t="e">
        <f>_xlfn.XLOOKUP(A2325,[1]邦达数据库!$A:$A,[1]邦达数据库!$C:$C)</f>
        <v>#N/A</v>
      </c>
    </row>
    <row r="2326" ht="30" customHeight="1" spans="1:6">
      <c r="A2326" s="4" t="s">
        <v>4786</v>
      </c>
      <c r="B2326" s="5" t="s">
        <v>974</v>
      </c>
      <c r="C2326" s="5" t="s">
        <v>4787</v>
      </c>
      <c r="D2326" s="5" t="s">
        <v>4788</v>
      </c>
      <c r="E2326" s="5" t="s">
        <v>4789</v>
      </c>
      <c r="F2326" t="e">
        <f>_xlfn.XLOOKUP(A2326,[1]邦达数据库!$A:$A,[1]邦达数据库!$C:$C)</f>
        <v>#N/A</v>
      </c>
    </row>
    <row r="2327" ht="30" customHeight="1" spans="1:6">
      <c r="A2327" s="2" t="s">
        <v>4790</v>
      </c>
      <c r="B2327" s="3" t="s">
        <v>974</v>
      </c>
      <c r="C2327" s="3" t="s">
        <v>4791</v>
      </c>
      <c r="D2327" s="3" t="s">
        <v>4792</v>
      </c>
      <c r="E2327" s="3" t="s">
        <v>4793</v>
      </c>
      <c r="F2327" t="e">
        <f>_xlfn.XLOOKUP(A2327,[1]邦达数据库!$A:$A,[1]邦达数据库!$C:$C)</f>
        <v>#N/A</v>
      </c>
    </row>
    <row r="2328" ht="30" customHeight="1" spans="1:6">
      <c r="A2328" s="4" t="s">
        <v>4794</v>
      </c>
      <c r="B2328" s="5" t="s">
        <v>974</v>
      </c>
      <c r="C2328" s="5" t="s">
        <v>982</v>
      </c>
      <c r="D2328" s="5" t="s">
        <v>4795</v>
      </c>
      <c r="E2328" s="5" t="s">
        <v>4796</v>
      </c>
      <c r="F2328" t="e">
        <f>_xlfn.XLOOKUP(A2328,[1]邦达数据库!$A:$A,[1]邦达数据库!$C:$C)</f>
        <v>#N/A</v>
      </c>
    </row>
    <row r="2329" ht="30" customHeight="1" spans="1:6">
      <c r="A2329" s="2" t="s">
        <v>4797</v>
      </c>
      <c r="B2329" s="3" t="s">
        <v>974</v>
      </c>
      <c r="C2329" s="3" t="s">
        <v>982</v>
      </c>
      <c r="D2329" s="3" t="s">
        <v>4798</v>
      </c>
      <c r="E2329" s="3" t="s">
        <v>4799</v>
      </c>
      <c r="F2329" t="e">
        <f>_xlfn.XLOOKUP(A2329,[1]邦达数据库!$A:$A,[1]邦达数据库!$C:$C)</f>
        <v>#N/A</v>
      </c>
    </row>
    <row r="2330" ht="30" customHeight="1" spans="1:6">
      <c r="A2330" s="4" t="s">
        <v>4800</v>
      </c>
      <c r="B2330" s="5" t="s">
        <v>974</v>
      </c>
      <c r="C2330" s="5" t="s">
        <v>975</v>
      </c>
      <c r="D2330" s="5" t="s">
        <v>79</v>
      </c>
      <c r="E2330" s="5" t="s">
        <v>80</v>
      </c>
      <c r="F2330" t="e">
        <f>_xlfn.XLOOKUP(A2330,[1]邦达数据库!$A:$A,[1]邦达数据库!$C:$C)</f>
        <v>#N/A</v>
      </c>
    </row>
    <row r="2331" ht="30" customHeight="1" spans="1:6">
      <c r="A2331" s="2" t="s">
        <v>4801</v>
      </c>
      <c r="B2331" s="3" t="s">
        <v>974</v>
      </c>
      <c r="C2331" s="3" t="s">
        <v>982</v>
      </c>
      <c r="D2331" s="3" t="s">
        <v>4802</v>
      </c>
      <c r="E2331" s="3" t="s">
        <v>4803</v>
      </c>
      <c r="F2331" t="e">
        <f>_xlfn.XLOOKUP(A2331,[1]邦达数据库!$A:$A,[1]邦达数据库!$C:$C)</f>
        <v>#N/A</v>
      </c>
    </row>
    <row r="2332" ht="30" customHeight="1" spans="1:6">
      <c r="A2332" s="4" t="s">
        <v>4804</v>
      </c>
      <c r="B2332" s="5" t="s">
        <v>974</v>
      </c>
      <c r="C2332" s="5" t="s">
        <v>975</v>
      </c>
      <c r="D2332" s="5" t="s">
        <v>963</v>
      </c>
      <c r="E2332" s="5" t="s">
        <v>964</v>
      </c>
      <c r="F2332" t="e">
        <f>_xlfn.XLOOKUP(A2332,[1]邦达数据库!$A:$A,[1]邦达数据库!$C:$C)</f>
        <v>#N/A</v>
      </c>
    </row>
    <row r="2333" ht="30" customHeight="1" spans="1:6">
      <c r="A2333" s="2" t="s">
        <v>4805</v>
      </c>
      <c r="B2333" s="3" t="s">
        <v>4806</v>
      </c>
      <c r="C2333" s="3" t="s">
        <v>962</v>
      </c>
      <c r="D2333" s="3" t="s">
        <v>117</v>
      </c>
      <c r="E2333" s="3" t="s">
        <v>118</v>
      </c>
      <c r="F2333" t="e">
        <f>_xlfn.XLOOKUP(A2333,[1]邦达数据库!$A:$A,[1]邦达数据库!$C:$C)</f>
        <v>#N/A</v>
      </c>
    </row>
    <row r="2334" ht="30" customHeight="1" spans="1:6">
      <c r="A2334" s="4" t="s">
        <v>4807</v>
      </c>
      <c r="B2334" s="5" t="s">
        <v>4808</v>
      </c>
      <c r="C2334" s="5" t="s">
        <v>4809</v>
      </c>
      <c r="D2334" s="5" t="s">
        <v>2517</v>
      </c>
      <c r="E2334" s="5" t="s">
        <v>2518</v>
      </c>
      <c r="F2334" t="e">
        <f>_xlfn.XLOOKUP(A2334,[1]邦达数据库!$A:$A,[1]邦达数据库!$C:$C)</f>
        <v>#N/A</v>
      </c>
    </row>
    <row r="2335" ht="30" customHeight="1" spans="1:6">
      <c r="A2335" s="2" t="s">
        <v>4810</v>
      </c>
      <c r="B2335" s="3" t="s">
        <v>4811</v>
      </c>
      <c r="C2335" s="3" t="s">
        <v>4812</v>
      </c>
      <c r="D2335" s="3" t="s">
        <v>1389</v>
      </c>
      <c r="E2335" s="3" t="s">
        <v>1390</v>
      </c>
      <c r="F2335" t="e">
        <f>_xlfn.XLOOKUP(A2335,[1]邦达数据库!$A:$A,[1]邦达数据库!$C:$C)</f>
        <v>#N/A</v>
      </c>
    </row>
    <row r="2336" ht="30" customHeight="1" spans="1:6">
      <c r="A2336" s="4" t="s">
        <v>4813</v>
      </c>
      <c r="B2336" s="5" t="s">
        <v>4814</v>
      </c>
      <c r="C2336" s="5" t="s">
        <v>335</v>
      </c>
      <c r="D2336" s="5" t="s">
        <v>280</v>
      </c>
      <c r="E2336" s="5" t="s">
        <v>281</v>
      </c>
      <c r="F2336" t="e">
        <f>_xlfn.XLOOKUP(A2336,[1]邦达数据库!$A:$A,[1]邦达数据库!$C:$C)</f>
        <v>#N/A</v>
      </c>
    </row>
    <row r="2337" ht="30" customHeight="1" spans="1:6">
      <c r="A2337" s="2" t="s">
        <v>4815</v>
      </c>
      <c r="B2337" s="3" t="s">
        <v>4816</v>
      </c>
      <c r="C2337" s="3" t="s">
        <v>335</v>
      </c>
      <c r="D2337" s="3" t="s">
        <v>4817</v>
      </c>
      <c r="E2337" s="3" t="s">
        <v>4818</v>
      </c>
      <c r="F2337" t="e">
        <f>_xlfn.XLOOKUP(A2337,[1]邦达数据库!$A:$A,[1]邦达数据库!$C:$C)</f>
        <v>#N/A</v>
      </c>
    </row>
    <row r="2338" ht="30" customHeight="1" spans="1:6">
      <c r="A2338" s="4" t="s">
        <v>4819</v>
      </c>
      <c r="B2338" s="5" t="s">
        <v>4820</v>
      </c>
      <c r="C2338" s="5" t="s">
        <v>3993</v>
      </c>
      <c r="D2338" s="5" t="s">
        <v>271</v>
      </c>
      <c r="E2338" s="5" t="s">
        <v>272</v>
      </c>
      <c r="F2338" t="e">
        <f>_xlfn.XLOOKUP(A2338,[1]邦达数据库!$A:$A,[1]邦达数据库!$C:$C)</f>
        <v>#N/A</v>
      </c>
    </row>
    <row r="2339" ht="30" customHeight="1" spans="1:6">
      <c r="A2339" s="2" t="s">
        <v>4821</v>
      </c>
      <c r="B2339" s="3" t="s">
        <v>4822</v>
      </c>
      <c r="C2339" s="3" t="s">
        <v>17</v>
      </c>
      <c r="D2339" s="3" t="s">
        <v>518</v>
      </c>
      <c r="E2339" s="3" t="s">
        <v>519</v>
      </c>
      <c r="F2339" t="e">
        <f>_xlfn.XLOOKUP(A2339,[1]邦达数据库!$A:$A,[1]邦达数据库!$C:$C)</f>
        <v>#N/A</v>
      </c>
    </row>
    <row r="2340" ht="30" customHeight="1" spans="1:6">
      <c r="A2340" s="4" t="s">
        <v>4823</v>
      </c>
      <c r="B2340" s="5" t="s">
        <v>4822</v>
      </c>
      <c r="C2340" s="5" t="s">
        <v>17</v>
      </c>
      <c r="D2340" s="5" t="s">
        <v>518</v>
      </c>
      <c r="E2340" s="5" t="s">
        <v>519</v>
      </c>
      <c r="F2340" t="e">
        <f>_xlfn.XLOOKUP(A2340,[1]邦达数据库!$A:$A,[1]邦达数据库!$C:$C)</f>
        <v>#N/A</v>
      </c>
    </row>
    <row r="2341" ht="30" customHeight="1" spans="1:6">
      <c r="A2341" s="2" t="s">
        <v>4824</v>
      </c>
      <c r="B2341" s="3" t="s">
        <v>4822</v>
      </c>
      <c r="C2341" s="3" t="s">
        <v>17</v>
      </c>
      <c r="D2341" s="3" t="s">
        <v>518</v>
      </c>
      <c r="E2341" s="3" t="s">
        <v>519</v>
      </c>
      <c r="F2341" t="e">
        <f>_xlfn.XLOOKUP(A2341,[1]邦达数据库!$A:$A,[1]邦达数据库!$C:$C)</f>
        <v>#N/A</v>
      </c>
    </row>
    <row r="2342" ht="30" customHeight="1" spans="1:6">
      <c r="A2342" s="4" t="s">
        <v>4825</v>
      </c>
      <c r="B2342" s="5" t="s">
        <v>4822</v>
      </c>
      <c r="C2342" s="5" t="s">
        <v>17</v>
      </c>
      <c r="D2342" s="5" t="s">
        <v>518</v>
      </c>
      <c r="E2342" s="5" t="s">
        <v>519</v>
      </c>
      <c r="F2342" t="e">
        <f>_xlfn.XLOOKUP(A2342,[1]邦达数据库!$A:$A,[1]邦达数据库!$C:$C)</f>
        <v>#N/A</v>
      </c>
    </row>
    <row r="2343" ht="30" customHeight="1" spans="1:6">
      <c r="A2343" s="2" t="s">
        <v>4826</v>
      </c>
      <c r="B2343" s="3" t="s">
        <v>4827</v>
      </c>
      <c r="C2343" s="3" t="s">
        <v>17</v>
      </c>
      <c r="D2343" s="3" t="s">
        <v>364</v>
      </c>
      <c r="E2343" s="3" t="s">
        <v>365</v>
      </c>
      <c r="F2343" t="e">
        <f>_xlfn.XLOOKUP(A2343,[1]邦达数据库!$A:$A,[1]邦达数据库!$C:$C)</f>
        <v>#N/A</v>
      </c>
    </row>
    <row r="2344" ht="30" customHeight="1" spans="1:6">
      <c r="A2344" s="4" t="s">
        <v>4828</v>
      </c>
      <c r="B2344" s="5" t="s">
        <v>4827</v>
      </c>
      <c r="C2344" s="5" t="s">
        <v>17</v>
      </c>
      <c r="D2344" s="5" t="s">
        <v>367</v>
      </c>
      <c r="E2344" s="5" t="s">
        <v>368</v>
      </c>
      <c r="F2344" t="e">
        <f>_xlfn.XLOOKUP(A2344,[1]邦达数据库!$A:$A,[1]邦达数据库!$C:$C)</f>
        <v>#N/A</v>
      </c>
    </row>
    <row r="2345" ht="30" customHeight="1" spans="1:6">
      <c r="A2345" s="2" t="s">
        <v>4829</v>
      </c>
      <c r="B2345" s="3" t="s">
        <v>4827</v>
      </c>
      <c r="C2345" s="3" t="s">
        <v>17</v>
      </c>
      <c r="D2345" s="3" t="s">
        <v>364</v>
      </c>
      <c r="E2345" s="3" t="s">
        <v>365</v>
      </c>
      <c r="F2345" t="e">
        <f>_xlfn.XLOOKUP(A2345,[1]邦达数据库!$A:$A,[1]邦达数据库!$C:$C)</f>
        <v>#N/A</v>
      </c>
    </row>
    <row r="2346" ht="30" customHeight="1" spans="1:6">
      <c r="A2346" s="4" t="s">
        <v>4830</v>
      </c>
      <c r="B2346" s="5" t="s">
        <v>4827</v>
      </c>
      <c r="C2346" s="5" t="s">
        <v>17</v>
      </c>
      <c r="D2346" s="5" t="s">
        <v>367</v>
      </c>
      <c r="E2346" s="5" t="s">
        <v>368</v>
      </c>
      <c r="F2346" t="e">
        <f>_xlfn.XLOOKUP(A2346,[1]邦达数据库!$A:$A,[1]邦达数据库!$C:$C)</f>
        <v>#N/A</v>
      </c>
    </row>
    <row r="2347" ht="30" customHeight="1" spans="1:6">
      <c r="A2347" s="2" t="s">
        <v>4831</v>
      </c>
      <c r="B2347" s="3" t="s">
        <v>4827</v>
      </c>
      <c r="C2347" s="3" t="s">
        <v>17</v>
      </c>
      <c r="D2347" s="3" t="s">
        <v>364</v>
      </c>
      <c r="E2347" s="3" t="s">
        <v>365</v>
      </c>
      <c r="F2347" t="e">
        <f>_xlfn.XLOOKUP(A2347,[1]邦达数据库!$A:$A,[1]邦达数据库!$C:$C)</f>
        <v>#N/A</v>
      </c>
    </row>
    <row r="2348" ht="30" customHeight="1" spans="1:6">
      <c r="A2348" s="4" t="s">
        <v>4832</v>
      </c>
      <c r="B2348" s="5" t="s">
        <v>4827</v>
      </c>
      <c r="C2348" s="5" t="s">
        <v>17</v>
      </c>
      <c r="D2348" s="5" t="s">
        <v>512</v>
      </c>
      <c r="E2348" s="5" t="s">
        <v>513</v>
      </c>
      <c r="F2348" t="e">
        <f>_xlfn.XLOOKUP(A2348,[1]邦达数据库!$A:$A,[1]邦达数据库!$C:$C)</f>
        <v>#N/A</v>
      </c>
    </row>
    <row r="2349" ht="30" customHeight="1" spans="1:6">
      <c r="A2349" s="2" t="s">
        <v>4833</v>
      </c>
      <c r="B2349" s="3" t="s">
        <v>4827</v>
      </c>
      <c r="C2349" s="3" t="s">
        <v>17</v>
      </c>
      <c r="D2349" s="3" t="s">
        <v>364</v>
      </c>
      <c r="E2349" s="3" t="s">
        <v>365</v>
      </c>
      <c r="F2349" t="e">
        <f>_xlfn.XLOOKUP(A2349,[1]邦达数据库!$A:$A,[1]邦达数据库!$C:$C)</f>
        <v>#N/A</v>
      </c>
    </row>
    <row r="2350" ht="30" customHeight="1" spans="1:6">
      <c r="A2350" s="4" t="s">
        <v>4834</v>
      </c>
      <c r="B2350" s="5" t="s">
        <v>4835</v>
      </c>
      <c r="C2350" s="5" t="s">
        <v>2286</v>
      </c>
      <c r="D2350" s="5" t="s">
        <v>379</v>
      </c>
      <c r="E2350" s="5" t="s">
        <v>380</v>
      </c>
      <c r="F2350" t="e">
        <f>_xlfn.XLOOKUP(A2350,[1]邦达数据库!$A:$A,[1]邦达数据库!$C:$C)</f>
        <v>#N/A</v>
      </c>
    </row>
    <row r="2351" ht="30" customHeight="1" spans="1:6">
      <c r="A2351" s="2" t="s">
        <v>4836</v>
      </c>
      <c r="B2351" s="3" t="s">
        <v>1696</v>
      </c>
      <c r="C2351" s="3" t="s">
        <v>4773</v>
      </c>
      <c r="D2351" s="3" t="s">
        <v>4609</v>
      </c>
      <c r="E2351" s="3" t="s">
        <v>4610</v>
      </c>
      <c r="F2351" t="e">
        <f>_xlfn.XLOOKUP(A2351,[1]邦达数据库!$A:$A,[1]邦达数据库!$C:$C)</f>
        <v>#N/A</v>
      </c>
    </row>
    <row r="2352" ht="30" customHeight="1" spans="1:6">
      <c r="A2352" s="4" t="s">
        <v>4837</v>
      </c>
      <c r="B2352" s="5" t="s">
        <v>1696</v>
      </c>
      <c r="C2352" s="5" t="s">
        <v>4773</v>
      </c>
      <c r="D2352" s="5" t="s">
        <v>1268</v>
      </c>
      <c r="E2352" s="5" t="s">
        <v>1269</v>
      </c>
      <c r="F2352" t="e">
        <f>_xlfn.XLOOKUP(A2352,[1]邦达数据库!$A:$A,[1]邦达数据库!$C:$C)</f>
        <v>#N/A</v>
      </c>
    </row>
    <row r="2353" ht="30" customHeight="1" spans="1:6">
      <c r="A2353" s="2" t="s">
        <v>4838</v>
      </c>
      <c r="B2353" s="3" t="s">
        <v>1696</v>
      </c>
      <c r="C2353" s="3" t="s">
        <v>4773</v>
      </c>
      <c r="D2353" s="3" t="s">
        <v>4609</v>
      </c>
      <c r="E2353" s="3" t="s">
        <v>4610</v>
      </c>
      <c r="F2353" t="e">
        <f>_xlfn.XLOOKUP(A2353,[1]邦达数据库!$A:$A,[1]邦达数据库!$C:$C)</f>
        <v>#N/A</v>
      </c>
    </row>
    <row r="2354" ht="30" customHeight="1" spans="1:6">
      <c r="A2354" s="4" t="s">
        <v>4839</v>
      </c>
      <c r="B2354" s="5" t="s">
        <v>1696</v>
      </c>
      <c r="C2354" s="5" t="s">
        <v>4773</v>
      </c>
      <c r="D2354" s="5" t="s">
        <v>140</v>
      </c>
      <c r="E2354" s="5" t="s">
        <v>141</v>
      </c>
      <c r="F2354" t="e">
        <f>_xlfn.XLOOKUP(A2354,[1]邦达数据库!$A:$A,[1]邦达数据库!$C:$C)</f>
        <v>#N/A</v>
      </c>
    </row>
    <row r="2355" ht="30" customHeight="1" spans="1:6">
      <c r="A2355" s="2" t="s">
        <v>4840</v>
      </c>
      <c r="B2355" s="3" t="s">
        <v>1696</v>
      </c>
      <c r="C2355" s="3" t="s">
        <v>4773</v>
      </c>
      <c r="D2355" s="3" t="s">
        <v>568</v>
      </c>
      <c r="E2355" s="3" t="s">
        <v>569</v>
      </c>
      <c r="F2355" t="e">
        <f>_xlfn.XLOOKUP(A2355,[1]邦达数据库!$A:$A,[1]邦达数据库!$C:$C)</f>
        <v>#N/A</v>
      </c>
    </row>
    <row r="2356" ht="30" customHeight="1" spans="1:6">
      <c r="A2356" s="4" t="s">
        <v>4841</v>
      </c>
      <c r="B2356" s="5" t="s">
        <v>2153</v>
      </c>
      <c r="C2356" s="5" t="s">
        <v>2154</v>
      </c>
      <c r="D2356" s="5" t="s">
        <v>618</v>
      </c>
      <c r="E2356" s="5" t="s">
        <v>619</v>
      </c>
      <c r="F2356" t="e">
        <f>_xlfn.XLOOKUP(A2356,[1]邦达数据库!$A:$A,[1]邦达数据库!$C:$C)</f>
        <v>#N/A</v>
      </c>
    </row>
    <row r="2357" ht="30" customHeight="1" spans="1:6">
      <c r="A2357" s="2" t="s">
        <v>4842</v>
      </c>
      <c r="B2357" s="3" t="s">
        <v>4843</v>
      </c>
      <c r="C2357" s="3" t="s">
        <v>2054</v>
      </c>
      <c r="D2357" s="3" t="s">
        <v>4844</v>
      </c>
      <c r="E2357" s="3" t="s">
        <v>4845</v>
      </c>
      <c r="F2357" t="e">
        <f>_xlfn.XLOOKUP(A2357,[1]邦达数据库!$A:$A,[1]邦达数据库!$C:$C)</f>
        <v>#N/A</v>
      </c>
    </row>
    <row r="2358" ht="30" customHeight="1" spans="1:6">
      <c r="A2358" s="4" t="s">
        <v>4846</v>
      </c>
      <c r="B2358" s="5" t="s">
        <v>4847</v>
      </c>
      <c r="C2358" s="5" t="s">
        <v>4848</v>
      </c>
      <c r="D2358" s="5" t="s">
        <v>1285</v>
      </c>
      <c r="E2358" s="5" t="s">
        <v>1286</v>
      </c>
      <c r="F2358" t="e">
        <f>_xlfn.XLOOKUP(A2358,[1]邦达数据库!$A:$A,[1]邦达数据库!$C:$C)</f>
        <v>#N/A</v>
      </c>
    </row>
    <row r="2359" ht="30" customHeight="1" spans="1:6">
      <c r="A2359" s="2" t="s">
        <v>4849</v>
      </c>
      <c r="B2359" s="3" t="s">
        <v>4847</v>
      </c>
      <c r="C2359" s="3" t="s">
        <v>4848</v>
      </c>
      <c r="D2359" s="3" t="s">
        <v>1285</v>
      </c>
      <c r="E2359" s="3" t="s">
        <v>1286</v>
      </c>
      <c r="F2359" t="e">
        <f>_xlfn.XLOOKUP(A2359,[1]邦达数据库!$A:$A,[1]邦达数据库!$C:$C)</f>
        <v>#N/A</v>
      </c>
    </row>
    <row r="2360" ht="30" customHeight="1" spans="1:6">
      <c r="A2360" s="4" t="s">
        <v>4850</v>
      </c>
      <c r="B2360" s="5" t="s">
        <v>4847</v>
      </c>
      <c r="C2360" s="5" t="s">
        <v>4848</v>
      </c>
      <c r="D2360" s="5" t="s">
        <v>1285</v>
      </c>
      <c r="E2360" s="5" t="s">
        <v>1286</v>
      </c>
      <c r="F2360" t="e">
        <f>_xlfn.XLOOKUP(A2360,[1]邦达数据库!$A:$A,[1]邦达数据库!$C:$C)</f>
        <v>#N/A</v>
      </c>
    </row>
    <row r="2361" ht="30" customHeight="1" spans="1:6">
      <c r="A2361" s="2" t="s">
        <v>4851</v>
      </c>
      <c r="B2361" s="3" t="s">
        <v>3219</v>
      </c>
      <c r="C2361" s="3" t="s">
        <v>4852</v>
      </c>
      <c r="D2361" s="3" t="s">
        <v>963</v>
      </c>
      <c r="E2361" s="3" t="s">
        <v>964</v>
      </c>
      <c r="F2361" t="e">
        <f>_xlfn.XLOOKUP(A2361,[1]邦达数据库!$A:$A,[1]邦达数据库!$C:$C)</f>
        <v>#N/A</v>
      </c>
    </row>
    <row r="2362" ht="30" customHeight="1" spans="1:6">
      <c r="A2362" s="4" t="s">
        <v>4853</v>
      </c>
      <c r="B2362" s="5" t="s">
        <v>4854</v>
      </c>
      <c r="C2362" s="5" t="s">
        <v>4855</v>
      </c>
      <c r="D2362" s="5" t="s">
        <v>400</v>
      </c>
      <c r="E2362" s="5" t="s">
        <v>401</v>
      </c>
      <c r="F2362" t="e">
        <f>_xlfn.XLOOKUP(A2362,[1]邦达数据库!$A:$A,[1]邦达数据库!$C:$C)</f>
        <v>#N/A</v>
      </c>
    </row>
    <row r="2363" ht="30" customHeight="1" spans="1:6">
      <c r="A2363" s="2" t="s">
        <v>4856</v>
      </c>
      <c r="B2363" s="3" t="s">
        <v>4854</v>
      </c>
      <c r="C2363" s="3" t="s">
        <v>4855</v>
      </c>
      <c r="D2363" s="3" t="s">
        <v>400</v>
      </c>
      <c r="E2363" s="3" t="s">
        <v>401</v>
      </c>
      <c r="F2363" t="e">
        <f>_xlfn.XLOOKUP(A2363,[1]邦达数据库!$A:$A,[1]邦达数据库!$C:$C)</f>
        <v>#N/A</v>
      </c>
    </row>
    <row r="2364" ht="30" customHeight="1" spans="1:6">
      <c r="A2364" s="4" t="s">
        <v>4857</v>
      </c>
      <c r="B2364" s="5" t="s">
        <v>4854</v>
      </c>
      <c r="C2364" s="5" t="s">
        <v>4855</v>
      </c>
      <c r="D2364" s="5" t="s">
        <v>400</v>
      </c>
      <c r="E2364" s="5" t="s">
        <v>401</v>
      </c>
      <c r="F2364" t="e">
        <f>_xlfn.XLOOKUP(A2364,[1]邦达数据库!$A:$A,[1]邦达数据库!$C:$C)</f>
        <v>#N/A</v>
      </c>
    </row>
    <row r="2365" ht="30" customHeight="1" spans="1:6">
      <c r="A2365" s="2" t="s">
        <v>4858</v>
      </c>
      <c r="B2365" s="3" t="s">
        <v>4854</v>
      </c>
      <c r="C2365" s="3" t="s">
        <v>4855</v>
      </c>
      <c r="D2365" s="3" t="s">
        <v>400</v>
      </c>
      <c r="E2365" s="3" t="s">
        <v>401</v>
      </c>
      <c r="F2365" t="e">
        <f>_xlfn.XLOOKUP(A2365,[1]邦达数据库!$A:$A,[1]邦达数据库!$C:$C)</f>
        <v>#N/A</v>
      </c>
    </row>
    <row r="2366" ht="30" customHeight="1" spans="1:6">
      <c r="A2366" s="4" t="s">
        <v>4859</v>
      </c>
      <c r="B2366" s="5" t="s">
        <v>4854</v>
      </c>
      <c r="C2366" s="5" t="s">
        <v>4855</v>
      </c>
      <c r="D2366" s="5" t="s">
        <v>400</v>
      </c>
      <c r="E2366" s="5" t="s">
        <v>401</v>
      </c>
      <c r="F2366" t="e">
        <f>_xlfn.XLOOKUP(A2366,[1]邦达数据库!$A:$A,[1]邦达数据库!$C:$C)</f>
        <v>#N/A</v>
      </c>
    </row>
    <row r="2367" ht="30" customHeight="1" spans="1:6">
      <c r="A2367" s="2" t="s">
        <v>4860</v>
      </c>
      <c r="B2367" s="3" t="s">
        <v>4854</v>
      </c>
      <c r="C2367" s="3" t="s">
        <v>4855</v>
      </c>
      <c r="D2367" s="3" t="s">
        <v>400</v>
      </c>
      <c r="E2367" s="3" t="s">
        <v>401</v>
      </c>
      <c r="F2367" t="e">
        <f>_xlfn.XLOOKUP(A2367,[1]邦达数据库!$A:$A,[1]邦达数据库!$C:$C)</f>
        <v>#N/A</v>
      </c>
    </row>
    <row r="2368" ht="30" customHeight="1" spans="1:6">
      <c r="A2368" s="4" t="s">
        <v>4861</v>
      </c>
      <c r="B2368" s="5" t="s">
        <v>4862</v>
      </c>
      <c r="C2368" s="5" t="s">
        <v>2569</v>
      </c>
      <c r="D2368" s="5" t="s">
        <v>3250</v>
      </c>
      <c r="E2368" s="5" t="s">
        <v>3251</v>
      </c>
      <c r="F2368" t="e">
        <f>_xlfn.XLOOKUP(A2368,[1]邦达数据库!$A:$A,[1]邦达数据库!$C:$C)</f>
        <v>#N/A</v>
      </c>
    </row>
    <row r="2369" ht="30" customHeight="1" spans="1:6">
      <c r="A2369" s="2" t="s">
        <v>4863</v>
      </c>
      <c r="B2369" s="3" t="s">
        <v>4862</v>
      </c>
      <c r="C2369" s="3" t="s">
        <v>2569</v>
      </c>
      <c r="D2369" s="3" t="s">
        <v>4864</v>
      </c>
      <c r="E2369" s="3" t="s">
        <v>4865</v>
      </c>
      <c r="F2369" t="e">
        <f>_xlfn.XLOOKUP(A2369,[1]邦达数据库!$A:$A,[1]邦达数据库!$C:$C)</f>
        <v>#N/A</v>
      </c>
    </row>
    <row r="2370" ht="30" customHeight="1" spans="1:6">
      <c r="A2370" s="4" t="s">
        <v>4866</v>
      </c>
      <c r="B2370" s="5" t="s">
        <v>4862</v>
      </c>
      <c r="C2370" s="5" t="s">
        <v>2569</v>
      </c>
      <c r="D2370" s="5" t="s">
        <v>3250</v>
      </c>
      <c r="E2370" s="5" t="s">
        <v>3251</v>
      </c>
      <c r="F2370" t="e">
        <f>_xlfn.XLOOKUP(A2370,[1]邦达数据库!$A:$A,[1]邦达数据库!$C:$C)</f>
        <v>#N/A</v>
      </c>
    </row>
    <row r="2371" ht="30" customHeight="1" spans="1:6">
      <c r="A2371" s="2" t="s">
        <v>4867</v>
      </c>
      <c r="B2371" s="3" t="s">
        <v>4862</v>
      </c>
      <c r="C2371" s="3" t="s">
        <v>2569</v>
      </c>
      <c r="D2371" s="3" t="s">
        <v>3250</v>
      </c>
      <c r="E2371" s="3" t="s">
        <v>3251</v>
      </c>
      <c r="F2371" t="e">
        <f>_xlfn.XLOOKUP(A2371,[1]邦达数据库!$A:$A,[1]邦达数据库!$C:$C)</f>
        <v>#N/A</v>
      </c>
    </row>
    <row r="2372" ht="30" customHeight="1" spans="1:6">
      <c r="A2372" s="4" t="s">
        <v>4868</v>
      </c>
      <c r="B2372" s="5" t="s">
        <v>4862</v>
      </c>
      <c r="C2372" s="5" t="s">
        <v>2569</v>
      </c>
      <c r="D2372" s="5" t="s">
        <v>4864</v>
      </c>
      <c r="E2372" s="5" t="s">
        <v>4865</v>
      </c>
      <c r="F2372" t="e">
        <f>_xlfn.XLOOKUP(A2372,[1]邦达数据库!$A:$A,[1]邦达数据库!$C:$C)</f>
        <v>#N/A</v>
      </c>
    </row>
    <row r="2373" ht="30" customHeight="1" spans="1:6">
      <c r="A2373" s="2" t="s">
        <v>4869</v>
      </c>
      <c r="B2373" s="3" t="s">
        <v>4870</v>
      </c>
      <c r="C2373" s="3" t="s">
        <v>1115</v>
      </c>
      <c r="D2373" s="3" t="s">
        <v>1460</v>
      </c>
      <c r="E2373" s="3" t="s">
        <v>1461</v>
      </c>
      <c r="F2373" t="e">
        <f>_xlfn.XLOOKUP(A2373,[1]邦达数据库!$A:$A,[1]邦达数据库!$C:$C)</f>
        <v>#N/A</v>
      </c>
    </row>
    <row r="2374" ht="30" customHeight="1" spans="1:6">
      <c r="A2374" s="4" t="s">
        <v>4871</v>
      </c>
      <c r="B2374" s="5" t="s">
        <v>4870</v>
      </c>
      <c r="C2374" s="5" t="s">
        <v>1115</v>
      </c>
      <c r="D2374" s="5" t="s">
        <v>1460</v>
      </c>
      <c r="E2374" s="5" t="s">
        <v>1461</v>
      </c>
      <c r="F2374" t="e">
        <f>_xlfn.XLOOKUP(A2374,[1]邦达数据库!$A:$A,[1]邦达数据库!$C:$C)</f>
        <v>#N/A</v>
      </c>
    </row>
    <row r="2375" ht="30" customHeight="1" spans="1:6">
      <c r="A2375" s="2" t="s">
        <v>4872</v>
      </c>
      <c r="B2375" s="3" t="s">
        <v>4870</v>
      </c>
      <c r="C2375" s="3" t="s">
        <v>1115</v>
      </c>
      <c r="D2375" s="3" t="s">
        <v>1460</v>
      </c>
      <c r="E2375" s="3" t="s">
        <v>1461</v>
      </c>
      <c r="F2375" t="e">
        <f>_xlfn.XLOOKUP(A2375,[1]邦达数据库!$A:$A,[1]邦达数据库!$C:$C)</f>
        <v>#N/A</v>
      </c>
    </row>
    <row r="2376" ht="30" customHeight="1" spans="1:6">
      <c r="A2376" s="4" t="s">
        <v>4873</v>
      </c>
      <c r="B2376" s="5" t="s">
        <v>4870</v>
      </c>
      <c r="C2376" s="5" t="s">
        <v>1115</v>
      </c>
      <c r="D2376" s="5" t="s">
        <v>1460</v>
      </c>
      <c r="E2376" s="5" t="s">
        <v>1461</v>
      </c>
      <c r="F2376" t="e">
        <f>_xlfn.XLOOKUP(A2376,[1]邦达数据库!$A:$A,[1]邦达数据库!$C:$C)</f>
        <v>#N/A</v>
      </c>
    </row>
    <row r="2377" ht="30" customHeight="1" spans="1:6">
      <c r="A2377" s="2" t="s">
        <v>4874</v>
      </c>
      <c r="B2377" s="3" t="s">
        <v>4870</v>
      </c>
      <c r="C2377" s="3" t="s">
        <v>1115</v>
      </c>
      <c r="D2377" s="3" t="s">
        <v>547</v>
      </c>
      <c r="E2377" s="3" t="s">
        <v>548</v>
      </c>
      <c r="F2377" t="e">
        <f>_xlfn.XLOOKUP(A2377,[1]邦达数据库!$A:$A,[1]邦达数据库!$C:$C)</f>
        <v>#N/A</v>
      </c>
    </row>
    <row r="2378" ht="30" customHeight="1" spans="1:6">
      <c r="A2378" s="4" t="s">
        <v>4875</v>
      </c>
      <c r="B2378" s="5" t="s">
        <v>4876</v>
      </c>
      <c r="C2378" s="5" t="s">
        <v>4877</v>
      </c>
      <c r="D2378" s="5" t="s">
        <v>794</v>
      </c>
      <c r="E2378" s="5" t="s">
        <v>795</v>
      </c>
      <c r="F2378" t="e">
        <f>_xlfn.XLOOKUP(A2378,[1]邦达数据库!$A:$A,[1]邦达数据库!$C:$C)</f>
        <v>#N/A</v>
      </c>
    </row>
    <row r="2379" ht="30" customHeight="1" spans="1:6">
      <c r="A2379" s="2" t="s">
        <v>4878</v>
      </c>
      <c r="B2379" s="3" t="s">
        <v>2385</v>
      </c>
      <c r="C2379" s="3" t="s">
        <v>2386</v>
      </c>
      <c r="D2379" s="3" t="s">
        <v>4879</v>
      </c>
      <c r="E2379" s="3" t="s">
        <v>4880</v>
      </c>
      <c r="F2379" t="e">
        <f>_xlfn.XLOOKUP(A2379,[1]邦达数据库!$A:$A,[1]邦达数据库!$C:$C)</f>
        <v>#N/A</v>
      </c>
    </row>
    <row r="2380" ht="30" customHeight="1" spans="1:6">
      <c r="A2380" s="4" t="s">
        <v>4881</v>
      </c>
      <c r="B2380" s="5" t="s">
        <v>2385</v>
      </c>
      <c r="C2380" s="5" t="s">
        <v>2386</v>
      </c>
      <c r="D2380" s="5" t="s">
        <v>4879</v>
      </c>
      <c r="E2380" s="5" t="s">
        <v>4880</v>
      </c>
      <c r="F2380" t="e">
        <f>_xlfn.XLOOKUP(A2380,[1]邦达数据库!$A:$A,[1]邦达数据库!$C:$C)</f>
        <v>#N/A</v>
      </c>
    </row>
    <row r="2381" ht="30" customHeight="1" spans="1:6">
      <c r="A2381" s="2" t="s">
        <v>4882</v>
      </c>
      <c r="B2381" s="3" t="s">
        <v>2385</v>
      </c>
      <c r="C2381" s="3" t="s">
        <v>2386</v>
      </c>
      <c r="D2381" s="3" t="s">
        <v>1081</v>
      </c>
      <c r="E2381" s="3" t="s">
        <v>1082</v>
      </c>
      <c r="F2381" t="e">
        <f>_xlfn.XLOOKUP(A2381,[1]邦达数据库!$A:$A,[1]邦达数据库!$C:$C)</f>
        <v>#N/A</v>
      </c>
    </row>
    <row r="2382" ht="30" customHeight="1" spans="1:6">
      <c r="A2382" s="4" t="s">
        <v>4883</v>
      </c>
      <c r="B2382" s="5" t="s">
        <v>4884</v>
      </c>
      <c r="C2382" s="5" t="s">
        <v>2236</v>
      </c>
      <c r="D2382" s="5" t="s">
        <v>1038</v>
      </c>
      <c r="E2382" s="5" t="s">
        <v>1039</v>
      </c>
      <c r="F2382" t="e">
        <f>_xlfn.XLOOKUP(A2382,[1]邦达数据库!$A:$A,[1]邦达数据库!$C:$C)</f>
        <v>#N/A</v>
      </c>
    </row>
    <row r="2383" ht="30" customHeight="1" spans="1:6">
      <c r="A2383" s="2" t="s">
        <v>4885</v>
      </c>
      <c r="B2383" s="3" t="s">
        <v>4876</v>
      </c>
      <c r="C2383" s="3" t="s">
        <v>4877</v>
      </c>
      <c r="D2383" s="3" t="s">
        <v>33</v>
      </c>
      <c r="E2383" s="3" t="s">
        <v>34</v>
      </c>
      <c r="F2383" t="e">
        <f>_xlfn.XLOOKUP(A2383,[1]邦达数据库!$A:$A,[1]邦达数据库!$C:$C)</f>
        <v>#N/A</v>
      </c>
    </row>
    <row r="2384" ht="30" customHeight="1" spans="1:6">
      <c r="A2384" s="4" t="s">
        <v>4886</v>
      </c>
      <c r="B2384" s="5" t="s">
        <v>4876</v>
      </c>
      <c r="C2384" s="5" t="s">
        <v>4877</v>
      </c>
      <c r="D2384" s="5" t="s">
        <v>4887</v>
      </c>
      <c r="E2384" s="5" t="s">
        <v>4888</v>
      </c>
      <c r="F2384" t="e">
        <f>_xlfn.XLOOKUP(A2384,[1]邦达数据库!$A:$A,[1]邦达数据库!$C:$C)</f>
        <v>#N/A</v>
      </c>
    </row>
    <row r="2385" ht="30" customHeight="1" spans="1:6">
      <c r="A2385" s="2" t="s">
        <v>4889</v>
      </c>
      <c r="B2385" s="3" t="s">
        <v>4876</v>
      </c>
      <c r="C2385" s="3" t="s">
        <v>4877</v>
      </c>
      <c r="D2385" s="3" t="s">
        <v>33</v>
      </c>
      <c r="E2385" s="3" t="s">
        <v>34</v>
      </c>
      <c r="F2385" t="e">
        <f>_xlfn.XLOOKUP(A2385,[1]邦达数据库!$A:$A,[1]邦达数据库!$C:$C)</f>
        <v>#N/A</v>
      </c>
    </row>
    <row r="2386" ht="30" customHeight="1" spans="1:6">
      <c r="A2386" s="4" t="s">
        <v>4890</v>
      </c>
      <c r="B2386" s="5" t="s">
        <v>4876</v>
      </c>
      <c r="C2386" s="5" t="s">
        <v>4877</v>
      </c>
      <c r="D2386" s="5" t="s">
        <v>33</v>
      </c>
      <c r="E2386" s="5" t="s">
        <v>34</v>
      </c>
      <c r="F2386" t="e">
        <f>_xlfn.XLOOKUP(A2386,[1]邦达数据库!$A:$A,[1]邦达数据库!$C:$C)</f>
        <v>#N/A</v>
      </c>
    </row>
    <row r="2387" ht="30" customHeight="1" spans="1:6">
      <c r="A2387" s="2" t="s">
        <v>4891</v>
      </c>
      <c r="B2387" s="3" t="s">
        <v>4892</v>
      </c>
      <c r="C2387" s="3" t="s">
        <v>4893</v>
      </c>
      <c r="D2387" s="3" t="s">
        <v>4894</v>
      </c>
      <c r="E2387" s="3" t="s">
        <v>4895</v>
      </c>
      <c r="F2387" t="e">
        <f>_xlfn.XLOOKUP(A2387,[1]邦达数据库!$A:$A,[1]邦达数据库!$C:$C)</f>
        <v>#N/A</v>
      </c>
    </row>
    <row r="2388" ht="30" customHeight="1" spans="1:6">
      <c r="A2388" s="4" t="s">
        <v>4896</v>
      </c>
      <c r="B2388" s="5" t="s">
        <v>4897</v>
      </c>
      <c r="C2388" s="5" t="s">
        <v>242</v>
      </c>
      <c r="D2388" s="5" t="s">
        <v>482</v>
      </c>
      <c r="E2388" s="5" t="s">
        <v>483</v>
      </c>
      <c r="F2388" t="e">
        <f>_xlfn.XLOOKUP(A2388,[1]邦达数据库!$A:$A,[1]邦达数据库!$C:$C)</f>
        <v>#N/A</v>
      </c>
    </row>
    <row r="2389" ht="30" customHeight="1" spans="1:6">
      <c r="A2389" s="2" t="s">
        <v>4898</v>
      </c>
      <c r="B2389" s="3" t="s">
        <v>4897</v>
      </c>
      <c r="C2389" s="3" t="s">
        <v>242</v>
      </c>
      <c r="D2389" s="3" t="s">
        <v>482</v>
      </c>
      <c r="E2389" s="3" t="s">
        <v>483</v>
      </c>
      <c r="F2389" t="e">
        <f>_xlfn.XLOOKUP(A2389,[1]邦达数据库!$A:$A,[1]邦达数据库!$C:$C)</f>
        <v>#N/A</v>
      </c>
    </row>
    <row r="2390" ht="30" customHeight="1" spans="1:6">
      <c r="A2390" s="4" t="s">
        <v>4899</v>
      </c>
      <c r="B2390" s="5" t="s">
        <v>4897</v>
      </c>
      <c r="C2390" s="5" t="s">
        <v>242</v>
      </c>
      <c r="D2390" s="5" t="s">
        <v>28</v>
      </c>
      <c r="E2390" s="5" t="s">
        <v>29</v>
      </c>
      <c r="F2390" t="e">
        <f>_xlfn.XLOOKUP(A2390,[1]邦达数据库!$A:$A,[1]邦达数据库!$C:$C)</f>
        <v>#N/A</v>
      </c>
    </row>
    <row r="2391" ht="30" customHeight="1" spans="1:6">
      <c r="A2391" s="2" t="s">
        <v>4900</v>
      </c>
      <c r="B2391" s="3" t="s">
        <v>4901</v>
      </c>
      <c r="C2391" s="3" t="s">
        <v>443</v>
      </c>
      <c r="D2391" s="3" t="s">
        <v>223</v>
      </c>
      <c r="E2391" s="3" t="s">
        <v>224</v>
      </c>
      <c r="F2391" t="e">
        <f>_xlfn.XLOOKUP(A2391,[1]邦达数据库!$A:$A,[1]邦达数据库!$C:$C)</f>
        <v>#N/A</v>
      </c>
    </row>
    <row r="2392" ht="30" customHeight="1" spans="1:6">
      <c r="A2392" s="4" t="s">
        <v>4902</v>
      </c>
      <c r="B2392" s="5" t="s">
        <v>4901</v>
      </c>
      <c r="C2392" s="5" t="s">
        <v>443</v>
      </c>
      <c r="D2392" s="5" t="s">
        <v>223</v>
      </c>
      <c r="E2392" s="5" t="s">
        <v>224</v>
      </c>
      <c r="F2392" t="e">
        <f>_xlfn.XLOOKUP(A2392,[1]邦达数据库!$A:$A,[1]邦达数据库!$C:$C)</f>
        <v>#N/A</v>
      </c>
    </row>
    <row r="2393" ht="30" customHeight="1" spans="1:6">
      <c r="A2393" s="2" t="s">
        <v>4903</v>
      </c>
      <c r="B2393" s="3" t="s">
        <v>617</v>
      </c>
      <c r="C2393" s="3" t="s">
        <v>4904</v>
      </c>
      <c r="D2393" s="3" t="s">
        <v>879</v>
      </c>
      <c r="E2393" s="3" t="s">
        <v>880</v>
      </c>
      <c r="F2393" t="e">
        <f>_xlfn.XLOOKUP(A2393,[1]邦达数据库!$A:$A,[1]邦达数据库!$C:$C)</f>
        <v>#N/A</v>
      </c>
    </row>
    <row r="2394" ht="30" customHeight="1" spans="1:6">
      <c r="A2394" s="4" t="s">
        <v>4905</v>
      </c>
      <c r="B2394" s="5" t="s">
        <v>617</v>
      </c>
      <c r="C2394" s="5" t="s">
        <v>4904</v>
      </c>
      <c r="D2394" s="5" t="s">
        <v>621</v>
      </c>
      <c r="E2394" s="5" t="s">
        <v>622</v>
      </c>
      <c r="F2394" t="e">
        <f>_xlfn.XLOOKUP(A2394,[1]邦达数据库!$A:$A,[1]邦达数据库!$C:$C)</f>
        <v>#N/A</v>
      </c>
    </row>
    <row r="2395" ht="30" customHeight="1" spans="1:6">
      <c r="A2395" s="2" t="s">
        <v>4906</v>
      </c>
      <c r="B2395" s="3" t="s">
        <v>617</v>
      </c>
      <c r="C2395" s="3" t="s">
        <v>4904</v>
      </c>
      <c r="D2395" s="3" t="s">
        <v>621</v>
      </c>
      <c r="E2395" s="3" t="s">
        <v>622</v>
      </c>
      <c r="F2395" t="e">
        <f>_xlfn.XLOOKUP(A2395,[1]邦达数据库!$A:$A,[1]邦达数据库!$C:$C)</f>
        <v>#N/A</v>
      </c>
    </row>
    <row r="2396" ht="30" customHeight="1" spans="1:6">
      <c r="A2396" s="4" t="s">
        <v>4907</v>
      </c>
      <c r="B2396" s="5" t="s">
        <v>617</v>
      </c>
      <c r="C2396" s="5" t="s">
        <v>4904</v>
      </c>
      <c r="D2396" s="5" t="s">
        <v>879</v>
      </c>
      <c r="E2396" s="5" t="s">
        <v>880</v>
      </c>
      <c r="F2396" t="e">
        <f>_xlfn.XLOOKUP(A2396,[1]邦达数据库!$A:$A,[1]邦达数据库!$C:$C)</f>
        <v>#N/A</v>
      </c>
    </row>
    <row r="2397" ht="30" customHeight="1" spans="1:6">
      <c r="A2397" s="2" t="s">
        <v>4908</v>
      </c>
      <c r="B2397" s="3" t="s">
        <v>4909</v>
      </c>
      <c r="C2397" s="3" t="s">
        <v>242</v>
      </c>
      <c r="D2397" s="3" t="s">
        <v>1801</v>
      </c>
      <c r="E2397" s="3" t="s">
        <v>1802</v>
      </c>
      <c r="F2397" t="e">
        <f>_xlfn.XLOOKUP(A2397,[1]邦达数据库!$A:$A,[1]邦达数据库!$C:$C)</f>
        <v>#N/A</v>
      </c>
    </row>
    <row r="2398" ht="30" customHeight="1" spans="1:6">
      <c r="A2398" s="4" t="s">
        <v>4910</v>
      </c>
      <c r="B2398" s="5" t="s">
        <v>4909</v>
      </c>
      <c r="C2398" s="5" t="s">
        <v>242</v>
      </c>
      <c r="D2398" s="5" t="s">
        <v>4911</v>
      </c>
      <c r="E2398" s="5" t="s">
        <v>4912</v>
      </c>
      <c r="F2398" t="e">
        <f>_xlfn.XLOOKUP(A2398,[1]邦达数据库!$A:$A,[1]邦达数据库!$C:$C)</f>
        <v>#N/A</v>
      </c>
    </row>
    <row r="2399" ht="30" customHeight="1" spans="1:6">
      <c r="A2399" s="2" t="s">
        <v>4913</v>
      </c>
      <c r="B2399" s="3" t="s">
        <v>4914</v>
      </c>
      <c r="C2399" s="3" t="s">
        <v>242</v>
      </c>
      <c r="D2399" s="3" t="s">
        <v>256</v>
      </c>
      <c r="E2399" s="3" t="s">
        <v>257</v>
      </c>
      <c r="F2399" t="e">
        <f>_xlfn.XLOOKUP(A2399,[1]邦达数据库!$A:$A,[1]邦达数据库!$C:$C)</f>
        <v>#N/A</v>
      </c>
    </row>
    <row r="2400" ht="30" customHeight="1" spans="1:6">
      <c r="A2400" s="4" t="s">
        <v>4915</v>
      </c>
      <c r="B2400" s="5" t="s">
        <v>4916</v>
      </c>
      <c r="C2400" s="5" t="s">
        <v>1924</v>
      </c>
      <c r="D2400" s="5" t="s">
        <v>170</v>
      </c>
      <c r="E2400" s="5" t="s">
        <v>171</v>
      </c>
      <c r="F2400" t="e">
        <f>_xlfn.XLOOKUP(A2400,[1]邦达数据库!$A:$A,[1]邦达数据库!$C:$C)</f>
        <v>#N/A</v>
      </c>
    </row>
    <row r="2401" ht="30" customHeight="1" spans="1:6">
      <c r="A2401" s="2" t="s">
        <v>4917</v>
      </c>
      <c r="B2401" s="3" t="s">
        <v>4916</v>
      </c>
      <c r="C2401" s="3" t="s">
        <v>1924</v>
      </c>
      <c r="D2401" s="3" t="s">
        <v>4918</v>
      </c>
      <c r="E2401" s="3" t="s">
        <v>4919</v>
      </c>
      <c r="F2401" t="e">
        <f>_xlfn.XLOOKUP(A2401,[1]邦达数据库!$A:$A,[1]邦达数据库!$C:$C)</f>
        <v>#N/A</v>
      </c>
    </row>
    <row r="2402" ht="30" customHeight="1" spans="1:6">
      <c r="A2402" s="4" t="s">
        <v>4920</v>
      </c>
      <c r="B2402" s="5" t="s">
        <v>4843</v>
      </c>
      <c r="C2402" s="5" t="s">
        <v>2054</v>
      </c>
      <c r="D2402" s="5" t="s">
        <v>28</v>
      </c>
      <c r="E2402" s="5" t="s">
        <v>29</v>
      </c>
      <c r="F2402" t="e">
        <f>_xlfn.XLOOKUP(A2402,[1]邦达数据库!$A:$A,[1]邦达数据库!$C:$C)</f>
        <v>#N/A</v>
      </c>
    </row>
    <row r="2403" ht="30" customHeight="1" spans="1:6">
      <c r="A2403" s="2" t="s">
        <v>4921</v>
      </c>
      <c r="B2403" s="3" t="s">
        <v>4843</v>
      </c>
      <c r="C2403" s="3" t="s">
        <v>2054</v>
      </c>
      <c r="D2403" s="3" t="s">
        <v>1057</v>
      </c>
      <c r="E2403" s="3" t="s">
        <v>1058</v>
      </c>
      <c r="F2403" t="e">
        <f>_xlfn.XLOOKUP(A2403,[1]邦达数据库!$A:$A,[1]邦达数据库!$C:$C)</f>
        <v>#N/A</v>
      </c>
    </row>
    <row r="2404" ht="30" customHeight="1" spans="1:6">
      <c r="A2404" s="4" t="s">
        <v>4922</v>
      </c>
      <c r="B2404" s="5" t="s">
        <v>4843</v>
      </c>
      <c r="C2404" s="5" t="s">
        <v>2054</v>
      </c>
      <c r="D2404" s="5" t="s">
        <v>28</v>
      </c>
      <c r="E2404" s="5" t="s">
        <v>29</v>
      </c>
      <c r="F2404" t="e">
        <f>_xlfn.XLOOKUP(A2404,[1]邦达数据库!$A:$A,[1]邦达数据库!$C:$C)</f>
        <v>#N/A</v>
      </c>
    </row>
    <row r="2405" ht="30" customHeight="1" spans="1:6">
      <c r="A2405" s="2" t="s">
        <v>4923</v>
      </c>
      <c r="B2405" s="3" t="s">
        <v>4843</v>
      </c>
      <c r="C2405" s="3" t="s">
        <v>2054</v>
      </c>
      <c r="D2405" s="3" t="s">
        <v>1057</v>
      </c>
      <c r="E2405" s="3" t="s">
        <v>1058</v>
      </c>
      <c r="F2405" t="e">
        <f>_xlfn.XLOOKUP(A2405,[1]邦达数据库!$A:$A,[1]邦达数据库!$C:$C)</f>
        <v>#N/A</v>
      </c>
    </row>
    <row r="2406" ht="30" customHeight="1" spans="1:6">
      <c r="A2406" s="4" t="s">
        <v>4924</v>
      </c>
      <c r="B2406" s="5" t="s">
        <v>4843</v>
      </c>
      <c r="C2406" s="5" t="s">
        <v>2054</v>
      </c>
      <c r="D2406" s="5" t="s">
        <v>28</v>
      </c>
      <c r="E2406" s="5" t="s">
        <v>29</v>
      </c>
      <c r="F2406" t="e">
        <f>_xlfn.XLOOKUP(A2406,[1]邦达数据库!$A:$A,[1]邦达数据库!$C:$C)</f>
        <v>#N/A</v>
      </c>
    </row>
    <row r="2407" ht="30" customHeight="1" spans="1:6">
      <c r="A2407" s="2" t="s">
        <v>4925</v>
      </c>
      <c r="B2407" s="3" t="s">
        <v>4843</v>
      </c>
      <c r="C2407" s="3" t="s">
        <v>2054</v>
      </c>
      <c r="D2407" s="3" t="s">
        <v>28</v>
      </c>
      <c r="E2407" s="3" t="s">
        <v>29</v>
      </c>
      <c r="F2407" t="e">
        <f>_xlfn.XLOOKUP(A2407,[1]邦达数据库!$A:$A,[1]邦达数据库!$C:$C)</f>
        <v>#N/A</v>
      </c>
    </row>
    <row r="2408" ht="30" customHeight="1" spans="1:6">
      <c r="A2408" s="4" t="s">
        <v>4926</v>
      </c>
      <c r="B2408" s="5" t="s">
        <v>4843</v>
      </c>
      <c r="C2408" s="5" t="s">
        <v>2054</v>
      </c>
      <c r="D2408" s="5" t="s">
        <v>28</v>
      </c>
      <c r="E2408" s="5" t="s">
        <v>29</v>
      </c>
      <c r="F2408" t="e">
        <f>_xlfn.XLOOKUP(A2408,[1]邦达数据库!$A:$A,[1]邦达数据库!$C:$C)</f>
        <v>#N/A</v>
      </c>
    </row>
    <row r="2409" ht="30" customHeight="1" spans="1:6">
      <c r="A2409" s="2" t="s">
        <v>4927</v>
      </c>
      <c r="B2409" s="3" t="s">
        <v>4843</v>
      </c>
      <c r="C2409" s="3" t="s">
        <v>2054</v>
      </c>
      <c r="D2409" s="3" t="s">
        <v>28</v>
      </c>
      <c r="E2409" s="3" t="s">
        <v>29</v>
      </c>
      <c r="F2409" t="e">
        <f>_xlfn.XLOOKUP(A2409,[1]邦达数据库!$A:$A,[1]邦达数据库!$C:$C)</f>
        <v>#N/A</v>
      </c>
    </row>
    <row r="2410" ht="30" customHeight="1" spans="1:6">
      <c r="A2410" s="4" t="s">
        <v>4928</v>
      </c>
      <c r="B2410" s="5" t="s">
        <v>4929</v>
      </c>
      <c r="C2410" s="5" t="s">
        <v>3327</v>
      </c>
      <c r="D2410" s="5" t="s">
        <v>1890</v>
      </c>
      <c r="E2410" s="5" t="s">
        <v>1891</v>
      </c>
      <c r="F2410" t="e">
        <f>_xlfn.XLOOKUP(A2410,[1]邦达数据库!$A:$A,[1]邦达数据库!$C:$C)</f>
        <v>#N/A</v>
      </c>
    </row>
    <row r="2411" ht="30" customHeight="1" spans="1:6">
      <c r="A2411" s="2" t="s">
        <v>4930</v>
      </c>
      <c r="B2411" s="3" t="s">
        <v>4229</v>
      </c>
      <c r="C2411" s="3" t="s">
        <v>88</v>
      </c>
      <c r="D2411" s="3" t="s">
        <v>400</v>
      </c>
      <c r="E2411" s="3" t="s">
        <v>401</v>
      </c>
      <c r="F2411" t="e">
        <f>_xlfn.XLOOKUP(A2411,[1]邦达数据库!$A:$A,[1]邦达数据库!$C:$C)</f>
        <v>#N/A</v>
      </c>
    </row>
    <row r="2412" ht="30" customHeight="1" spans="1:6">
      <c r="A2412" s="4" t="s">
        <v>4931</v>
      </c>
      <c r="B2412" s="5" t="s">
        <v>550</v>
      </c>
      <c r="C2412" s="5" t="s">
        <v>242</v>
      </c>
      <c r="D2412" s="5" t="s">
        <v>1646</v>
      </c>
      <c r="E2412" s="5" t="s">
        <v>1647</v>
      </c>
      <c r="F2412" t="e">
        <f>_xlfn.XLOOKUP(A2412,[1]邦达数据库!$A:$A,[1]邦达数据库!$C:$C)</f>
        <v>#N/A</v>
      </c>
    </row>
    <row r="2413" ht="30" customHeight="1" spans="1:6">
      <c r="A2413" s="2" t="s">
        <v>4932</v>
      </c>
      <c r="B2413" s="3" t="s">
        <v>550</v>
      </c>
      <c r="C2413" s="3" t="s">
        <v>242</v>
      </c>
      <c r="D2413" s="3" t="s">
        <v>1268</v>
      </c>
      <c r="E2413" s="3" t="s">
        <v>1269</v>
      </c>
      <c r="F2413" t="e">
        <f>_xlfn.XLOOKUP(A2413,[1]邦达数据库!$A:$A,[1]邦达数据库!$C:$C)</f>
        <v>#N/A</v>
      </c>
    </row>
    <row r="2414" ht="30" customHeight="1" spans="1:6">
      <c r="A2414" s="4" t="s">
        <v>4933</v>
      </c>
      <c r="B2414" s="5" t="s">
        <v>550</v>
      </c>
      <c r="C2414" s="5" t="s">
        <v>242</v>
      </c>
      <c r="D2414" s="5" t="s">
        <v>1268</v>
      </c>
      <c r="E2414" s="5" t="s">
        <v>1269</v>
      </c>
      <c r="F2414" t="e">
        <f>_xlfn.XLOOKUP(A2414,[1]邦达数据库!$A:$A,[1]邦达数据库!$C:$C)</f>
        <v>#N/A</v>
      </c>
    </row>
    <row r="2415" ht="30" customHeight="1" spans="1:6">
      <c r="A2415" s="2" t="s">
        <v>4934</v>
      </c>
      <c r="B2415" s="3" t="s">
        <v>4935</v>
      </c>
      <c r="C2415" s="3" t="s">
        <v>685</v>
      </c>
      <c r="D2415" s="3" t="s">
        <v>1537</v>
      </c>
      <c r="E2415" s="3" t="s">
        <v>1538</v>
      </c>
      <c r="F2415" t="e">
        <f>_xlfn.XLOOKUP(A2415,[1]邦达数据库!$A:$A,[1]邦达数据库!$C:$C)</f>
        <v>#N/A</v>
      </c>
    </row>
    <row r="2416" ht="30" customHeight="1" spans="1:6">
      <c r="A2416" s="4" t="s">
        <v>4936</v>
      </c>
      <c r="B2416" s="5" t="s">
        <v>4935</v>
      </c>
      <c r="C2416" s="5" t="s">
        <v>685</v>
      </c>
      <c r="D2416" s="5" t="s">
        <v>1537</v>
      </c>
      <c r="E2416" s="5" t="s">
        <v>1538</v>
      </c>
      <c r="F2416" t="e">
        <f>_xlfn.XLOOKUP(A2416,[1]邦达数据库!$A:$A,[1]邦达数据库!$C:$C)</f>
        <v>#N/A</v>
      </c>
    </row>
    <row r="2417" ht="30" customHeight="1" spans="1:6">
      <c r="A2417" s="2" t="s">
        <v>4937</v>
      </c>
      <c r="B2417" s="3" t="s">
        <v>4935</v>
      </c>
      <c r="C2417" s="3" t="s">
        <v>685</v>
      </c>
      <c r="D2417" s="3" t="s">
        <v>1537</v>
      </c>
      <c r="E2417" s="3" t="s">
        <v>1538</v>
      </c>
      <c r="F2417" t="e">
        <f>_xlfn.XLOOKUP(A2417,[1]邦达数据库!$A:$A,[1]邦达数据库!$C:$C)</f>
        <v>#N/A</v>
      </c>
    </row>
    <row r="2418" ht="30" customHeight="1" spans="1:6">
      <c r="A2418" s="4" t="s">
        <v>4938</v>
      </c>
      <c r="B2418" s="5" t="s">
        <v>4939</v>
      </c>
      <c r="C2418" s="5" t="s">
        <v>2428</v>
      </c>
      <c r="D2418" s="5" t="s">
        <v>2444</v>
      </c>
      <c r="E2418" s="5" t="s">
        <v>2445</v>
      </c>
      <c r="F2418" t="e">
        <f>_xlfn.XLOOKUP(A2418,[1]邦达数据库!$A:$A,[1]邦达数据库!$C:$C)</f>
        <v>#N/A</v>
      </c>
    </row>
    <row r="2419" ht="30" customHeight="1" spans="1:6">
      <c r="A2419" s="2" t="s">
        <v>4940</v>
      </c>
      <c r="B2419" s="3" t="s">
        <v>4939</v>
      </c>
      <c r="C2419" s="3" t="s">
        <v>2428</v>
      </c>
      <c r="D2419" s="3" t="s">
        <v>2092</v>
      </c>
      <c r="E2419" s="3" t="s">
        <v>2093</v>
      </c>
      <c r="F2419" t="e">
        <f>_xlfn.XLOOKUP(A2419,[1]邦达数据库!$A:$A,[1]邦达数据库!$C:$C)</f>
        <v>#N/A</v>
      </c>
    </row>
    <row r="2420" ht="30" customHeight="1" spans="1:6">
      <c r="A2420" s="4" t="s">
        <v>4941</v>
      </c>
      <c r="B2420" s="5" t="s">
        <v>4942</v>
      </c>
      <c r="C2420" s="5" t="s">
        <v>685</v>
      </c>
      <c r="D2420" s="5" t="s">
        <v>1294</v>
      </c>
      <c r="E2420" s="5" t="s">
        <v>1295</v>
      </c>
      <c r="F2420" t="e">
        <f>_xlfn.XLOOKUP(A2420,[1]邦达数据库!$A:$A,[1]邦达数据库!$C:$C)</f>
        <v>#N/A</v>
      </c>
    </row>
    <row r="2421" ht="30" customHeight="1" spans="1:6">
      <c r="A2421" s="2" t="s">
        <v>4943</v>
      </c>
      <c r="B2421" s="3" t="s">
        <v>4942</v>
      </c>
      <c r="C2421" s="3" t="s">
        <v>685</v>
      </c>
      <c r="D2421" s="3" t="s">
        <v>1294</v>
      </c>
      <c r="E2421" s="3" t="s">
        <v>1295</v>
      </c>
      <c r="F2421" t="e">
        <f>_xlfn.XLOOKUP(A2421,[1]邦达数据库!$A:$A,[1]邦达数据库!$C:$C)</f>
        <v>#N/A</v>
      </c>
    </row>
    <row r="2422" ht="30" customHeight="1" spans="1:6">
      <c r="A2422" s="4" t="s">
        <v>4944</v>
      </c>
      <c r="B2422" s="5" t="s">
        <v>4942</v>
      </c>
      <c r="C2422" s="5" t="s">
        <v>685</v>
      </c>
      <c r="D2422" s="5" t="s">
        <v>4945</v>
      </c>
      <c r="E2422" s="5" t="s">
        <v>4946</v>
      </c>
      <c r="F2422" t="e">
        <f>_xlfn.XLOOKUP(A2422,[1]邦达数据库!$A:$A,[1]邦达数据库!$C:$C)</f>
        <v>#N/A</v>
      </c>
    </row>
    <row r="2423" ht="30" customHeight="1" spans="1:6">
      <c r="A2423" s="2" t="s">
        <v>4947</v>
      </c>
      <c r="B2423" s="3" t="s">
        <v>1804</v>
      </c>
      <c r="C2423" s="3" t="s">
        <v>17</v>
      </c>
      <c r="D2423" s="3" t="s">
        <v>217</v>
      </c>
      <c r="E2423" s="3" t="s">
        <v>218</v>
      </c>
      <c r="F2423" t="e">
        <f>_xlfn.XLOOKUP(A2423,[1]邦达数据库!$A:$A,[1]邦达数据库!$C:$C)</f>
        <v>#N/A</v>
      </c>
    </row>
    <row r="2424" ht="30" customHeight="1" spans="1:6">
      <c r="A2424" s="2" t="s">
        <v>4948</v>
      </c>
      <c r="B2424" s="3" t="s">
        <v>4949</v>
      </c>
      <c r="C2424" s="3" t="s">
        <v>4950</v>
      </c>
      <c r="D2424" s="3" t="s">
        <v>482</v>
      </c>
      <c r="E2424" s="3" t="s">
        <v>483</v>
      </c>
      <c r="F2424" t="e">
        <f>_xlfn.XLOOKUP(A2424,[1]邦达数据库!$A:$A,[1]邦达数据库!$C:$C)</f>
        <v>#N/A</v>
      </c>
    </row>
    <row r="2425" ht="30" customHeight="1" spans="1:6">
      <c r="A2425" s="4" t="s">
        <v>4951</v>
      </c>
      <c r="B2425" s="5" t="s">
        <v>1804</v>
      </c>
      <c r="C2425" s="5" t="s">
        <v>17</v>
      </c>
      <c r="D2425" s="5" t="s">
        <v>2996</v>
      </c>
      <c r="E2425" s="5" t="s">
        <v>2997</v>
      </c>
      <c r="F2425" t="e">
        <f>_xlfn.XLOOKUP(A2425,[1]邦达数据库!$A:$A,[1]邦达数据库!$C:$C)</f>
        <v>#N/A</v>
      </c>
    </row>
    <row r="2426" ht="30" customHeight="1" spans="1:6">
      <c r="A2426" s="2" t="s">
        <v>4952</v>
      </c>
      <c r="B2426" s="3" t="s">
        <v>1804</v>
      </c>
      <c r="C2426" s="3" t="s">
        <v>17</v>
      </c>
      <c r="D2426" s="3" t="s">
        <v>4953</v>
      </c>
      <c r="E2426" s="3" t="s">
        <v>4954</v>
      </c>
      <c r="F2426" t="e">
        <f>_xlfn.XLOOKUP(A2426,[1]邦达数据库!$A:$A,[1]邦达数据库!$C:$C)</f>
        <v>#N/A</v>
      </c>
    </row>
    <row r="2427" ht="30" customHeight="1" spans="1:6">
      <c r="A2427" s="2" t="s">
        <v>4955</v>
      </c>
      <c r="B2427" s="3" t="s">
        <v>1806</v>
      </c>
      <c r="C2427" s="3" t="s">
        <v>1810</v>
      </c>
      <c r="D2427" s="3" t="s">
        <v>331</v>
      </c>
      <c r="E2427" s="3" t="s">
        <v>332</v>
      </c>
      <c r="F2427" t="e">
        <f>_xlfn.XLOOKUP(A2427,[1]邦达数据库!$A:$A,[1]邦达数据库!$C:$C)</f>
        <v>#N/A</v>
      </c>
    </row>
    <row r="2428" ht="30" customHeight="1" spans="1:6">
      <c r="A2428" s="4" t="s">
        <v>4956</v>
      </c>
      <c r="B2428" s="5" t="s">
        <v>1806</v>
      </c>
      <c r="C2428" s="5" t="s">
        <v>1810</v>
      </c>
      <c r="D2428" s="5" t="s">
        <v>4957</v>
      </c>
      <c r="E2428" s="5" t="s">
        <v>4958</v>
      </c>
      <c r="F2428" t="e">
        <f>_xlfn.XLOOKUP(A2428,[1]邦达数据库!$A:$A,[1]邦达数据库!$C:$C)</f>
        <v>#N/A</v>
      </c>
    </row>
    <row r="2429" ht="30" customHeight="1" spans="1:6">
      <c r="A2429" s="2" t="s">
        <v>4959</v>
      </c>
      <c r="B2429" s="3" t="s">
        <v>1806</v>
      </c>
      <c r="C2429" s="3" t="s">
        <v>1810</v>
      </c>
      <c r="D2429" s="3" t="s">
        <v>331</v>
      </c>
      <c r="E2429" s="3" t="s">
        <v>332</v>
      </c>
      <c r="F2429" t="e">
        <f>_xlfn.XLOOKUP(A2429,[1]邦达数据库!$A:$A,[1]邦达数据库!$C:$C)</f>
        <v>#N/A</v>
      </c>
    </row>
    <row r="2430" ht="30" customHeight="1" spans="1:6">
      <c r="A2430" s="4" t="s">
        <v>4960</v>
      </c>
      <c r="B2430" s="5" t="s">
        <v>4961</v>
      </c>
      <c r="C2430" s="5" t="s">
        <v>4962</v>
      </c>
      <c r="D2430" s="5" t="s">
        <v>1356</v>
      </c>
      <c r="E2430" s="5" t="s">
        <v>1357</v>
      </c>
      <c r="F2430" t="e">
        <f>_xlfn.XLOOKUP(A2430,[1]邦达数据库!$A:$A,[1]邦达数据库!$C:$C)</f>
        <v>#N/A</v>
      </c>
    </row>
    <row r="2431" ht="30" customHeight="1" spans="1:6">
      <c r="A2431" s="2" t="s">
        <v>4963</v>
      </c>
      <c r="B2431" s="3" t="s">
        <v>3826</v>
      </c>
      <c r="C2431" s="3" t="s">
        <v>2430</v>
      </c>
      <c r="D2431" s="3" t="s">
        <v>4964</v>
      </c>
      <c r="E2431" s="3" t="s">
        <v>4965</v>
      </c>
      <c r="F2431" t="str">
        <f>_xlfn.XLOOKUP(A2431,[1]邦达数据库!$A:$A,[1]邦达数据库!$C:$C)</f>
        <v>7610.90.9092</v>
      </c>
    </row>
    <row r="2432" ht="30" customHeight="1" spans="1:6">
      <c r="A2432" s="4" t="s">
        <v>4966</v>
      </c>
      <c r="B2432" s="5" t="s">
        <v>4967</v>
      </c>
      <c r="C2432" s="5" t="s">
        <v>17</v>
      </c>
      <c r="D2432" s="5" t="s">
        <v>181</v>
      </c>
      <c r="E2432" s="5" t="s">
        <v>182</v>
      </c>
      <c r="F2432" t="e">
        <f>_xlfn.XLOOKUP(A2432,[1]邦达数据库!$A:$A,[1]邦达数据库!$C:$C)</f>
        <v>#N/A</v>
      </c>
    </row>
    <row r="2433" ht="30" customHeight="1" spans="1:6">
      <c r="A2433" s="2" t="s">
        <v>4968</v>
      </c>
      <c r="B2433" s="3" t="s">
        <v>4967</v>
      </c>
      <c r="C2433" s="3" t="s">
        <v>17</v>
      </c>
      <c r="D2433" s="3" t="s">
        <v>181</v>
      </c>
      <c r="E2433" s="3" t="s">
        <v>182</v>
      </c>
      <c r="F2433" t="e">
        <f>_xlfn.XLOOKUP(A2433,[1]邦达数据库!$A:$A,[1]邦达数据库!$C:$C)</f>
        <v>#N/A</v>
      </c>
    </row>
    <row r="2434" ht="30" customHeight="1" spans="1:6">
      <c r="A2434" s="2" t="s">
        <v>4969</v>
      </c>
      <c r="B2434" s="3" t="s">
        <v>4970</v>
      </c>
      <c r="C2434" s="3" t="s">
        <v>4971</v>
      </c>
      <c r="D2434" s="3" t="s">
        <v>3272</v>
      </c>
      <c r="E2434" s="3" t="s">
        <v>3273</v>
      </c>
      <c r="F2434" t="e">
        <f>_xlfn.XLOOKUP(A2434,[1]邦达数据库!$A:$A,[1]邦达数据库!$C:$C)</f>
        <v>#N/A</v>
      </c>
    </row>
    <row r="2435" ht="30" customHeight="1" spans="1:6">
      <c r="A2435" s="4" t="s">
        <v>4972</v>
      </c>
      <c r="B2435" s="5" t="s">
        <v>4973</v>
      </c>
      <c r="C2435" s="5" t="s">
        <v>4971</v>
      </c>
      <c r="D2435" s="5" t="s">
        <v>3151</v>
      </c>
      <c r="E2435" s="5" t="s">
        <v>3152</v>
      </c>
      <c r="F2435" t="e">
        <f>_xlfn.XLOOKUP(A2435,[1]邦达数据库!$A:$A,[1]邦达数据库!$C:$C)</f>
        <v>#N/A</v>
      </c>
    </row>
    <row r="2436" ht="30" customHeight="1" spans="1:6">
      <c r="A2436" s="2" t="s">
        <v>4974</v>
      </c>
      <c r="B2436" s="3" t="s">
        <v>4970</v>
      </c>
      <c r="C2436" s="3" t="s">
        <v>4971</v>
      </c>
      <c r="D2436" s="3" t="s">
        <v>3272</v>
      </c>
      <c r="E2436" s="3" t="s">
        <v>3273</v>
      </c>
      <c r="F2436" t="e">
        <f>_xlfn.XLOOKUP(A2436,[1]邦达数据库!$A:$A,[1]邦达数据库!$C:$C)</f>
        <v>#N/A</v>
      </c>
    </row>
    <row r="2437" ht="30" customHeight="1" spans="1:6">
      <c r="A2437" s="4" t="s">
        <v>4975</v>
      </c>
      <c r="B2437" s="5" t="s">
        <v>4976</v>
      </c>
      <c r="C2437" s="5" t="s">
        <v>4971</v>
      </c>
      <c r="D2437" s="5" t="s">
        <v>3272</v>
      </c>
      <c r="E2437" s="5" t="s">
        <v>3273</v>
      </c>
      <c r="F2437" t="e">
        <f>_xlfn.XLOOKUP(A2437,[1]邦达数据库!$A:$A,[1]邦达数据库!$C:$C)</f>
        <v>#N/A</v>
      </c>
    </row>
    <row r="2438" ht="30" customHeight="1" spans="1:6">
      <c r="A2438" s="2" t="s">
        <v>4977</v>
      </c>
      <c r="B2438" s="3" t="s">
        <v>4976</v>
      </c>
      <c r="C2438" s="3" t="s">
        <v>4971</v>
      </c>
      <c r="D2438" s="3" t="s">
        <v>3272</v>
      </c>
      <c r="E2438" s="3" t="s">
        <v>3273</v>
      </c>
      <c r="F2438" t="e">
        <f>_xlfn.XLOOKUP(A2438,[1]邦达数据库!$A:$A,[1]邦达数据库!$C:$C)</f>
        <v>#N/A</v>
      </c>
    </row>
    <row r="2439" ht="30" customHeight="1" spans="1:6">
      <c r="A2439" s="4" t="s">
        <v>4978</v>
      </c>
      <c r="B2439" s="5" t="s">
        <v>4979</v>
      </c>
      <c r="C2439" s="5" t="s">
        <v>4980</v>
      </c>
      <c r="D2439" s="5" t="s">
        <v>319</v>
      </c>
      <c r="E2439" s="5" t="s">
        <v>320</v>
      </c>
      <c r="F2439" t="e">
        <f>_xlfn.XLOOKUP(A2439,[1]邦达数据库!$A:$A,[1]邦达数据库!$C:$C)</f>
        <v>#N/A</v>
      </c>
    </row>
    <row r="2440" ht="30" customHeight="1" spans="1:6">
      <c r="A2440" s="2" t="s">
        <v>4981</v>
      </c>
      <c r="B2440" s="3" t="s">
        <v>3044</v>
      </c>
      <c r="C2440" s="3" t="s">
        <v>4982</v>
      </c>
      <c r="D2440" s="3" t="s">
        <v>518</v>
      </c>
      <c r="E2440" s="3" t="s">
        <v>519</v>
      </c>
      <c r="F2440" t="e">
        <f>_xlfn.XLOOKUP(A2440,[1]邦达数据库!$A:$A,[1]邦达数据库!$C:$C)</f>
        <v>#N/A</v>
      </c>
    </row>
    <row r="2441" ht="30" customHeight="1" spans="1:6">
      <c r="A2441" s="4" t="s">
        <v>4983</v>
      </c>
      <c r="B2441" s="5" t="s">
        <v>3044</v>
      </c>
      <c r="C2441" s="5" t="s">
        <v>4982</v>
      </c>
      <c r="D2441" s="5" t="s">
        <v>518</v>
      </c>
      <c r="E2441" s="5" t="s">
        <v>519</v>
      </c>
      <c r="F2441" t="e">
        <f>_xlfn.XLOOKUP(A2441,[1]邦达数据库!$A:$A,[1]邦达数据库!$C:$C)</f>
        <v>#N/A</v>
      </c>
    </row>
    <row r="2442" ht="30" customHeight="1" spans="1:6">
      <c r="A2442" s="2" t="s">
        <v>4984</v>
      </c>
      <c r="B2442" s="3" t="s">
        <v>4985</v>
      </c>
      <c r="C2442" s="3" t="s">
        <v>3993</v>
      </c>
      <c r="D2442" s="3" t="s">
        <v>1890</v>
      </c>
      <c r="E2442" s="3" t="s">
        <v>1891</v>
      </c>
      <c r="F2442" t="e">
        <f>_xlfn.XLOOKUP(A2442,[1]邦达数据库!$A:$A,[1]邦达数据库!$C:$C)</f>
        <v>#N/A</v>
      </c>
    </row>
    <row r="2443" ht="30" customHeight="1" spans="1:6">
      <c r="A2443" s="4" t="s">
        <v>4986</v>
      </c>
      <c r="B2443" s="5" t="s">
        <v>4985</v>
      </c>
      <c r="C2443" s="5" t="s">
        <v>3993</v>
      </c>
      <c r="D2443" s="5" t="s">
        <v>1116</v>
      </c>
      <c r="E2443" s="5" t="s">
        <v>1117</v>
      </c>
      <c r="F2443" t="e">
        <f>_xlfn.XLOOKUP(A2443,[1]邦达数据库!$A:$A,[1]邦达数据库!$C:$C)</f>
        <v>#N/A</v>
      </c>
    </row>
    <row r="2444" ht="30" customHeight="1" spans="1:6">
      <c r="A2444" s="2" t="s">
        <v>4987</v>
      </c>
      <c r="B2444" s="3" t="s">
        <v>4988</v>
      </c>
      <c r="C2444" s="3" t="s">
        <v>265</v>
      </c>
      <c r="D2444" s="3" t="s">
        <v>314</v>
      </c>
      <c r="E2444" s="3" t="s">
        <v>315</v>
      </c>
      <c r="F2444" t="e">
        <f>_xlfn.XLOOKUP(A2444,[1]邦达数据库!$A:$A,[1]邦达数据库!$C:$C)</f>
        <v>#N/A</v>
      </c>
    </row>
    <row r="2445" ht="30" customHeight="1" spans="1:6">
      <c r="A2445" s="4" t="s">
        <v>4989</v>
      </c>
      <c r="B2445" s="5" t="s">
        <v>1388</v>
      </c>
      <c r="C2445" s="5" t="s">
        <v>725</v>
      </c>
      <c r="D2445" s="5" t="s">
        <v>4990</v>
      </c>
      <c r="E2445" s="5" t="s">
        <v>4991</v>
      </c>
      <c r="F2445" t="e">
        <f>_xlfn.XLOOKUP(A2445,[1]邦达数据库!$A:$A,[1]邦达数据库!$C:$C)</f>
        <v>#N/A</v>
      </c>
    </row>
    <row r="2446" ht="30" customHeight="1" spans="1:6">
      <c r="A2446" s="2" t="s">
        <v>4992</v>
      </c>
      <c r="B2446" s="3" t="s">
        <v>4993</v>
      </c>
      <c r="C2446" s="3" t="s">
        <v>4994</v>
      </c>
      <c r="D2446" s="3" t="s">
        <v>4995</v>
      </c>
      <c r="E2446" s="3" t="s">
        <v>4996</v>
      </c>
      <c r="F2446" t="e">
        <f>_xlfn.XLOOKUP(A2446,[1]邦达数据库!$A:$A,[1]邦达数据库!$C:$C)</f>
        <v>#N/A</v>
      </c>
    </row>
    <row r="2447" ht="30" customHeight="1" spans="1:6">
      <c r="A2447" s="4" t="s">
        <v>4997</v>
      </c>
      <c r="B2447" s="5" t="s">
        <v>4993</v>
      </c>
      <c r="C2447" s="5" t="s">
        <v>4994</v>
      </c>
      <c r="D2447" s="5" t="s">
        <v>4998</v>
      </c>
      <c r="E2447" s="5" t="s">
        <v>4999</v>
      </c>
      <c r="F2447" t="e">
        <f>_xlfn.XLOOKUP(A2447,[1]邦达数据库!$A:$A,[1]邦达数据库!$C:$C)</f>
        <v>#N/A</v>
      </c>
    </row>
    <row r="2448" ht="30" customHeight="1" spans="1:6">
      <c r="A2448" s="2" t="s">
        <v>5000</v>
      </c>
      <c r="B2448" s="3" t="s">
        <v>5001</v>
      </c>
      <c r="C2448" s="3" t="s">
        <v>216</v>
      </c>
      <c r="D2448" s="3" t="s">
        <v>2177</v>
      </c>
      <c r="E2448" s="3" t="s">
        <v>2178</v>
      </c>
      <c r="F2448" t="e">
        <f>_xlfn.XLOOKUP(A2448,[1]邦达数据库!$A:$A,[1]邦达数据库!$C:$C)</f>
        <v>#N/A</v>
      </c>
    </row>
    <row r="2449" ht="30" customHeight="1" spans="1:6">
      <c r="A2449" s="4" t="s">
        <v>5002</v>
      </c>
      <c r="B2449" s="5" t="s">
        <v>5001</v>
      </c>
      <c r="C2449" s="5" t="s">
        <v>216</v>
      </c>
      <c r="D2449" s="5" t="s">
        <v>2177</v>
      </c>
      <c r="E2449" s="5" t="s">
        <v>2178</v>
      </c>
      <c r="F2449" t="e">
        <f>_xlfn.XLOOKUP(A2449,[1]邦达数据库!$A:$A,[1]邦达数据库!$C:$C)</f>
        <v>#N/A</v>
      </c>
    </row>
    <row r="2450" ht="30" customHeight="1" spans="1:6">
      <c r="A2450" s="2" t="s">
        <v>5003</v>
      </c>
      <c r="B2450" s="3" t="s">
        <v>5001</v>
      </c>
      <c r="C2450" s="3" t="s">
        <v>216</v>
      </c>
      <c r="D2450" s="3" t="s">
        <v>2177</v>
      </c>
      <c r="E2450" s="3" t="s">
        <v>2178</v>
      </c>
      <c r="F2450" t="e">
        <f>_xlfn.XLOOKUP(A2450,[1]邦达数据库!$A:$A,[1]邦达数据库!$C:$C)</f>
        <v>#N/A</v>
      </c>
    </row>
    <row r="2451" ht="30" customHeight="1" spans="1:6">
      <c r="A2451" s="4" t="s">
        <v>5004</v>
      </c>
      <c r="B2451" s="5" t="s">
        <v>5005</v>
      </c>
      <c r="C2451" s="5" t="s">
        <v>216</v>
      </c>
      <c r="D2451" s="5" t="s">
        <v>4675</v>
      </c>
      <c r="E2451" s="5" t="s">
        <v>4676</v>
      </c>
      <c r="F2451" t="e">
        <f>_xlfn.XLOOKUP(A2451,[1]邦达数据库!$A:$A,[1]邦达数据库!$C:$C)</f>
        <v>#N/A</v>
      </c>
    </row>
    <row r="2452" ht="30" customHeight="1" spans="1:6">
      <c r="A2452" s="2" t="s">
        <v>5006</v>
      </c>
      <c r="B2452" s="3" t="s">
        <v>5007</v>
      </c>
      <c r="C2452" s="3" t="s">
        <v>1467</v>
      </c>
      <c r="D2452" s="3" t="s">
        <v>79</v>
      </c>
      <c r="E2452" s="3" t="s">
        <v>80</v>
      </c>
      <c r="F2452" t="e">
        <f>_xlfn.XLOOKUP(A2452,[1]邦达数据库!$A:$A,[1]邦达数据库!$C:$C)</f>
        <v>#N/A</v>
      </c>
    </row>
    <row r="2453" ht="30" customHeight="1" spans="1:6">
      <c r="A2453" s="4" t="s">
        <v>5008</v>
      </c>
      <c r="B2453" s="5" t="s">
        <v>5009</v>
      </c>
      <c r="C2453" s="5" t="s">
        <v>1467</v>
      </c>
      <c r="D2453" s="5" t="s">
        <v>5010</v>
      </c>
      <c r="E2453" s="5" t="s">
        <v>5011</v>
      </c>
      <c r="F2453" t="e">
        <f>_xlfn.XLOOKUP(A2453,[1]邦达数据库!$A:$A,[1]邦达数据库!$C:$C)</f>
        <v>#N/A</v>
      </c>
    </row>
    <row r="2454" ht="30" customHeight="1" spans="1:6">
      <c r="A2454" s="2" t="s">
        <v>5012</v>
      </c>
      <c r="B2454" s="3" t="s">
        <v>5013</v>
      </c>
      <c r="C2454" s="3" t="s">
        <v>716</v>
      </c>
      <c r="D2454" s="3" t="s">
        <v>2250</v>
      </c>
      <c r="E2454" s="3" t="s">
        <v>2251</v>
      </c>
      <c r="F2454" t="e">
        <f>_xlfn.XLOOKUP(A2454,[1]邦达数据库!$A:$A,[1]邦达数据库!$C:$C)</f>
        <v>#N/A</v>
      </c>
    </row>
    <row r="2455" ht="30" customHeight="1" spans="1:6">
      <c r="A2455" s="4" t="s">
        <v>5014</v>
      </c>
      <c r="B2455" s="5" t="s">
        <v>16</v>
      </c>
      <c r="C2455" s="5" t="s">
        <v>17</v>
      </c>
      <c r="D2455" s="5" t="s">
        <v>524</v>
      </c>
      <c r="E2455" s="5" t="s">
        <v>525</v>
      </c>
      <c r="F2455" t="e">
        <f>_xlfn.XLOOKUP(A2455,[1]邦达数据库!$A:$A,[1]邦达数据库!$C:$C)</f>
        <v>#N/A</v>
      </c>
    </row>
    <row r="2456" ht="30" customHeight="1" spans="1:6">
      <c r="A2456" s="2" t="s">
        <v>5015</v>
      </c>
      <c r="B2456" s="3" t="s">
        <v>703</v>
      </c>
      <c r="C2456" s="3" t="s">
        <v>704</v>
      </c>
      <c r="D2456" s="3" t="s">
        <v>1801</v>
      </c>
      <c r="E2456" s="3" t="s">
        <v>1802</v>
      </c>
      <c r="F2456" t="e">
        <f>_xlfn.XLOOKUP(A2456,[1]邦达数据库!$A:$A,[1]邦达数据库!$C:$C)</f>
        <v>#N/A</v>
      </c>
    </row>
    <row r="2457" ht="30" customHeight="1" spans="1:6">
      <c r="A2457" s="4" t="s">
        <v>5016</v>
      </c>
      <c r="B2457" s="5" t="s">
        <v>703</v>
      </c>
      <c r="C2457" s="5" t="s">
        <v>704</v>
      </c>
      <c r="D2457" s="5" t="s">
        <v>2177</v>
      </c>
      <c r="E2457" s="5" t="s">
        <v>2178</v>
      </c>
      <c r="F2457" t="e">
        <f>_xlfn.XLOOKUP(A2457,[1]邦达数据库!$A:$A,[1]邦达数据库!$C:$C)</f>
        <v>#N/A</v>
      </c>
    </row>
    <row r="2458" ht="30" customHeight="1" spans="1:6">
      <c r="A2458" s="2" t="s">
        <v>5017</v>
      </c>
      <c r="B2458" s="3" t="s">
        <v>703</v>
      </c>
      <c r="C2458" s="3" t="s">
        <v>704</v>
      </c>
      <c r="D2458" s="3" t="s">
        <v>1801</v>
      </c>
      <c r="E2458" s="3" t="s">
        <v>1802</v>
      </c>
      <c r="F2458" t="e">
        <f>_xlfn.XLOOKUP(A2458,[1]邦达数据库!$A:$A,[1]邦达数据库!$C:$C)</f>
        <v>#N/A</v>
      </c>
    </row>
    <row r="2459" ht="30" customHeight="1" spans="1:6">
      <c r="A2459" s="4" t="s">
        <v>5018</v>
      </c>
      <c r="B2459" s="5" t="s">
        <v>703</v>
      </c>
      <c r="C2459" s="5" t="s">
        <v>704</v>
      </c>
      <c r="D2459" s="5" t="s">
        <v>1801</v>
      </c>
      <c r="E2459" s="5" t="s">
        <v>1802</v>
      </c>
      <c r="F2459" t="e">
        <f>_xlfn.XLOOKUP(A2459,[1]邦达数据库!$A:$A,[1]邦达数据库!$C:$C)</f>
        <v>#N/A</v>
      </c>
    </row>
    <row r="2460" ht="30" customHeight="1" spans="1:6">
      <c r="A2460" s="2" t="s">
        <v>5019</v>
      </c>
      <c r="B2460" s="3" t="s">
        <v>641</v>
      </c>
      <c r="C2460" s="3" t="s">
        <v>275</v>
      </c>
      <c r="D2460" s="3" t="s">
        <v>73</v>
      </c>
      <c r="E2460" s="3" t="s">
        <v>74</v>
      </c>
      <c r="F2460" t="e">
        <f>_xlfn.XLOOKUP(A2460,[1]邦达数据库!$A:$A,[1]邦达数据库!$C:$C)</f>
        <v>#N/A</v>
      </c>
    </row>
    <row r="2461" ht="30" customHeight="1" spans="1:6">
      <c r="A2461" s="2" t="s">
        <v>5020</v>
      </c>
      <c r="B2461" s="3" t="s">
        <v>5021</v>
      </c>
      <c r="C2461" s="3" t="s">
        <v>5022</v>
      </c>
      <c r="D2461" s="3" t="s">
        <v>170</v>
      </c>
      <c r="E2461" s="3" t="s">
        <v>171</v>
      </c>
      <c r="F2461" t="e">
        <f>_xlfn.XLOOKUP(A2461,[1]邦达数据库!$A:$A,[1]邦达数据库!$C:$C)</f>
        <v>#N/A</v>
      </c>
    </row>
    <row r="2462" ht="30" customHeight="1" spans="1:6">
      <c r="A2462" s="4" t="s">
        <v>5023</v>
      </c>
      <c r="B2462" s="5" t="s">
        <v>5024</v>
      </c>
      <c r="C2462" s="5" t="s">
        <v>5025</v>
      </c>
      <c r="D2462" s="5" t="s">
        <v>73</v>
      </c>
      <c r="E2462" s="5" t="s">
        <v>74</v>
      </c>
      <c r="F2462" t="e">
        <f>_xlfn.XLOOKUP(A2462,[1]邦达数据库!$A:$A,[1]邦达数据库!$C:$C)</f>
        <v>#N/A</v>
      </c>
    </row>
    <row r="2463" ht="30" customHeight="1" spans="1:6">
      <c r="A2463" s="4" t="s">
        <v>5026</v>
      </c>
      <c r="B2463" s="5" t="s">
        <v>5024</v>
      </c>
      <c r="C2463" s="5" t="s">
        <v>5025</v>
      </c>
      <c r="D2463" s="5" t="s">
        <v>73</v>
      </c>
      <c r="E2463" s="5" t="s">
        <v>74</v>
      </c>
      <c r="F2463" t="e">
        <f>_xlfn.XLOOKUP(A2463,[1]邦达数据库!$A:$A,[1]邦达数据库!$C:$C)</f>
        <v>#N/A</v>
      </c>
    </row>
    <row r="2464" ht="30" customHeight="1" spans="1:6">
      <c r="A2464" s="2" t="s">
        <v>5027</v>
      </c>
      <c r="B2464" s="3" t="s">
        <v>5028</v>
      </c>
      <c r="C2464" s="3" t="s">
        <v>874</v>
      </c>
      <c r="D2464" s="3" t="s">
        <v>276</v>
      </c>
      <c r="E2464" s="3" t="s">
        <v>277</v>
      </c>
      <c r="F2464" t="e">
        <f>_xlfn.XLOOKUP(A2464,[1]邦达数据库!$A:$A,[1]邦达数据库!$C:$C)</f>
        <v>#N/A</v>
      </c>
    </row>
    <row r="2465" ht="30" customHeight="1" spans="1:6">
      <c r="A2465" s="4" t="s">
        <v>5029</v>
      </c>
      <c r="B2465" s="5" t="s">
        <v>5030</v>
      </c>
      <c r="C2465" s="5" t="s">
        <v>1108</v>
      </c>
      <c r="D2465" s="5" t="s">
        <v>2177</v>
      </c>
      <c r="E2465" s="5" t="s">
        <v>2178</v>
      </c>
      <c r="F2465" t="e">
        <f>_xlfn.XLOOKUP(A2465,[1]邦达数据库!$A:$A,[1]邦达数据库!$C:$C)</f>
        <v>#N/A</v>
      </c>
    </row>
    <row r="2466" ht="30" customHeight="1" spans="1:6">
      <c r="A2466" s="2" t="s">
        <v>5031</v>
      </c>
      <c r="B2466" s="3" t="s">
        <v>5030</v>
      </c>
      <c r="C2466" s="3" t="s">
        <v>1108</v>
      </c>
      <c r="D2466" s="3" t="s">
        <v>1646</v>
      </c>
      <c r="E2466" s="3" t="s">
        <v>1647</v>
      </c>
      <c r="F2466" t="e">
        <f>_xlfn.XLOOKUP(A2466,[1]邦达数据库!$A:$A,[1]邦达数据库!$C:$C)</f>
        <v>#N/A</v>
      </c>
    </row>
    <row r="2467" ht="30" customHeight="1" spans="1:6">
      <c r="A2467" s="4" t="s">
        <v>5032</v>
      </c>
      <c r="B2467" s="5" t="s">
        <v>5030</v>
      </c>
      <c r="C2467" s="5" t="s">
        <v>1108</v>
      </c>
      <c r="D2467" s="5" t="s">
        <v>1646</v>
      </c>
      <c r="E2467" s="5" t="s">
        <v>1647</v>
      </c>
      <c r="F2467" t="e">
        <f>_xlfn.XLOOKUP(A2467,[1]邦达数据库!$A:$A,[1]邦达数据库!$C:$C)</f>
        <v>#N/A</v>
      </c>
    </row>
    <row r="2468" ht="30" customHeight="1" spans="1:6">
      <c r="A2468" s="2" t="s">
        <v>5033</v>
      </c>
      <c r="B2468" s="3" t="s">
        <v>5030</v>
      </c>
      <c r="C2468" s="3" t="s">
        <v>1108</v>
      </c>
      <c r="D2468" s="3" t="s">
        <v>568</v>
      </c>
      <c r="E2468" s="3" t="s">
        <v>569</v>
      </c>
      <c r="F2468" t="e">
        <f>_xlfn.XLOOKUP(A2468,[1]邦达数据库!$A:$A,[1]邦达数据库!$C:$C)</f>
        <v>#N/A</v>
      </c>
    </row>
    <row r="2469" ht="30" customHeight="1" spans="1:6">
      <c r="A2469" s="4" t="s">
        <v>5034</v>
      </c>
      <c r="B2469" s="5" t="s">
        <v>5035</v>
      </c>
      <c r="C2469" s="5" t="s">
        <v>1108</v>
      </c>
      <c r="D2469" s="5" t="s">
        <v>5036</v>
      </c>
      <c r="E2469" s="5" t="s">
        <v>5037</v>
      </c>
      <c r="F2469" t="e">
        <f>_xlfn.XLOOKUP(A2469,[1]邦达数据库!$A:$A,[1]邦达数据库!$C:$C)</f>
        <v>#N/A</v>
      </c>
    </row>
    <row r="2470" ht="30" customHeight="1" spans="1:6">
      <c r="A2470" s="2" t="s">
        <v>5038</v>
      </c>
      <c r="B2470" s="3" t="s">
        <v>5035</v>
      </c>
      <c r="C2470" s="3" t="s">
        <v>1108</v>
      </c>
      <c r="D2470" s="3" t="s">
        <v>572</v>
      </c>
      <c r="E2470" s="3" t="s">
        <v>573</v>
      </c>
      <c r="F2470" t="e">
        <f>_xlfn.XLOOKUP(A2470,[1]邦达数据库!$A:$A,[1]邦达数据库!$C:$C)</f>
        <v>#N/A</v>
      </c>
    </row>
    <row r="2471" ht="30" customHeight="1" spans="1:6">
      <c r="A2471" s="4" t="s">
        <v>5039</v>
      </c>
      <c r="B2471" s="5" t="s">
        <v>5035</v>
      </c>
      <c r="C2471" s="5" t="s">
        <v>1108</v>
      </c>
      <c r="D2471" s="5" t="s">
        <v>2177</v>
      </c>
      <c r="E2471" s="5" t="s">
        <v>2178</v>
      </c>
      <c r="F2471" t="e">
        <f>_xlfn.XLOOKUP(A2471,[1]邦达数据库!$A:$A,[1]邦达数据库!$C:$C)</f>
        <v>#N/A</v>
      </c>
    </row>
    <row r="2472" ht="30" customHeight="1" spans="1:6">
      <c r="A2472" s="2" t="s">
        <v>5040</v>
      </c>
      <c r="B2472" s="3" t="s">
        <v>5035</v>
      </c>
      <c r="C2472" s="3" t="s">
        <v>1108</v>
      </c>
      <c r="D2472" s="3" t="s">
        <v>331</v>
      </c>
      <c r="E2472" s="3" t="s">
        <v>332</v>
      </c>
      <c r="F2472" t="e">
        <f>_xlfn.XLOOKUP(A2472,[1]邦达数据库!$A:$A,[1]邦达数据库!$C:$C)</f>
        <v>#N/A</v>
      </c>
    </row>
    <row r="2473" ht="30" customHeight="1" spans="1:6">
      <c r="A2473" s="4" t="s">
        <v>5041</v>
      </c>
      <c r="B2473" s="5" t="s">
        <v>5035</v>
      </c>
      <c r="C2473" s="5" t="s">
        <v>1108</v>
      </c>
      <c r="D2473" s="5" t="s">
        <v>5042</v>
      </c>
      <c r="E2473" s="5" t="s">
        <v>5043</v>
      </c>
      <c r="F2473" t="e">
        <f>_xlfn.XLOOKUP(A2473,[1]邦达数据库!$A:$A,[1]邦达数据库!$C:$C)</f>
        <v>#N/A</v>
      </c>
    </row>
    <row r="2474" ht="30" customHeight="1" spans="1:6">
      <c r="A2474" s="2" t="s">
        <v>5044</v>
      </c>
      <c r="B2474" s="3" t="s">
        <v>5045</v>
      </c>
      <c r="C2474" s="3" t="s">
        <v>2236</v>
      </c>
      <c r="D2474" s="3" t="s">
        <v>5046</v>
      </c>
      <c r="E2474" s="3" t="s">
        <v>5047</v>
      </c>
      <c r="F2474" t="e">
        <f>_xlfn.XLOOKUP(A2474,[1]邦达数据库!$A:$A,[1]邦达数据库!$C:$C)</f>
        <v>#N/A</v>
      </c>
    </row>
    <row r="2475" ht="30" customHeight="1" spans="1:6">
      <c r="A2475" s="4" t="s">
        <v>5048</v>
      </c>
      <c r="B2475" s="5" t="s">
        <v>5045</v>
      </c>
      <c r="C2475" s="5" t="s">
        <v>2236</v>
      </c>
      <c r="D2475" s="5" t="s">
        <v>5046</v>
      </c>
      <c r="E2475" s="5" t="s">
        <v>5047</v>
      </c>
      <c r="F2475" t="e">
        <f>_xlfn.XLOOKUP(A2475,[1]邦达数据库!$A:$A,[1]邦达数据库!$C:$C)</f>
        <v>#N/A</v>
      </c>
    </row>
    <row r="2476" ht="30" customHeight="1" spans="1:6">
      <c r="A2476" s="2" t="s">
        <v>5049</v>
      </c>
      <c r="B2476" s="3" t="s">
        <v>5045</v>
      </c>
      <c r="C2476" s="3" t="s">
        <v>2236</v>
      </c>
      <c r="D2476" s="3" t="s">
        <v>5046</v>
      </c>
      <c r="E2476" s="3" t="s">
        <v>5047</v>
      </c>
      <c r="F2476" t="e">
        <f>_xlfn.XLOOKUP(A2476,[1]邦达数据库!$A:$A,[1]邦达数据库!$C:$C)</f>
        <v>#N/A</v>
      </c>
    </row>
    <row r="2477" ht="30" customHeight="1" spans="1:6">
      <c r="A2477" s="4" t="s">
        <v>5050</v>
      </c>
      <c r="B2477" s="5" t="s">
        <v>5045</v>
      </c>
      <c r="C2477" s="5" t="s">
        <v>2236</v>
      </c>
      <c r="D2477" s="5" t="s">
        <v>5046</v>
      </c>
      <c r="E2477" s="5" t="s">
        <v>5047</v>
      </c>
      <c r="F2477" t="e">
        <f>_xlfn.XLOOKUP(A2477,[1]邦达数据库!$A:$A,[1]邦达数据库!$C:$C)</f>
        <v>#N/A</v>
      </c>
    </row>
    <row r="2478" ht="30" customHeight="1" spans="1:6">
      <c r="A2478" s="2" t="s">
        <v>5051</v>
      </c>
      <c r="B2478" s="3" t="s">
        <v>5045</v>
      </c>
      <c r="C2478" s="3" t="s">
        <v>2236</v>
      </c>
      <c r="D2478" s="3" t="s">
        <v>5046</v>
      </c>
      <c r="E2478" s="3" t="s">
        <v>5047</v>
      </c>
      <c r="F2478" t="e">
        <f>_xlfn.XLOOKUP(A2478,[1]邦达数据库!$A:$A,[1]邦达数据库!$C:$C)</f>
        <v>#N/A</v>
      </c>
    </row>
    <row r="2479" ht="30" customHeight="1" spans="1:6">
      <c r="A2479" s="4" t="s">
        <v>5052</v>
      </c>
      <c r="B2479" s="5" t="s">
        <v>5053</v>
      </c>
      <c r="C2479" s="5" t="s">
        <v>5054</v>
      </c>
      <c r="D2479" s="5" t="s">
        <v>5055</v>
      </c>
      <c r="E2479" s="5" t="s">
        <v>5056</v>
      </c>
      <c r="F2479" t="e">
        <f>_xlfn.XLOOKUP(A2479,[1]邦达数据库!$A:$A,[1]邦达数据库!$C:$C)</f>
        <v>#N/A</v>
      </c>
    </row>
    <row r="2480" ht="30" customHeight="1" spans="1:6">
      <c r="A2480" s="2" t="s">
        <v>5057</v>
      </c>
      <c r="B2480" s="3" t="s">
        <v>5058</v>
      </c>
      <c r="C2480" s="3" t="s">
        <v>5059</v>
      </c>
      <c r="D2480" s="3" t="s">
        <v>5060</v>
      </c>
      <c r="E2480" s="3" t="s">
        <v>5061</v>
      </c>
      <c r="F2480" t="e">
        <f>_xlfn.XLOOKUP(A2480,[1]邦达数据库!$A:$A,[1]邦达数据库!$C:$C)</f>
        <v>#N/A</v>
      </c>
    </row>
    <row r="2481" ht="30" customHeight="1" spans="1:6">
      <c r="A2481" s="4" t="s">
        <v>5062</v>
      </c>
      <c r="B2481" s="5" t="s">
        <v>5063</v>
      </c>
      <c r="C2481" s="5" t="s">
        <v>1167</v>
      </c>
      <c r="D2481" s="5" t="s">
        <v>711</v>
      </c>
      <c r="E2481" s="5" t="s">
        <v>712</v>
      </c>
      <c r="F2481" t="e">
        <f>_xlfn.XLOOKUP(A2481,[1]邦达数据库!$A:$A,[1]邦达数据库!$C:$C)</f>
        <v>#N/A</v>
      </c>
    </row>
    <row r="2482" ht="30" customHeight="1" spans="1:6">
      <c r="A2482" s="2" t="s">
        <v>5064</v>
      </c>
      <c r="B2482" s="3" t="s">
        <v>5063</v>
      </c>
      <c r="C2482" s="3" t="s">
        <v>1167</v>
      </c>
      <c r="D2482" s="3" t="s">
        <v>711</v>
      </c>
      <c r="E2482" s="3" t="s">
        <v>712</v>
      </c>
      <c r="F2482" t="e">
        <f>_xlfn.XLOOKUP(A2482,[1]邦达数据库!$A:$A,[1]邦达数据库!$C:$C)</f>
        <v>#N/A</v>
      </c>
    </row>
    <row r="2483" ht="30" customHeight="1" spans="1:6">
      <c r="A2483" s="4" t="s">
        <v>5065</v>
      </c>
      <c r="B2483" s="5" t="s">
        <v>5066</v>
      </c>
      <c r="C2483" s="5" t="s">
        <v>2576</v>
      </c>
      <c r="D2483" s="5" t="s">
        <v>4964</v>
      </c>
      <c r="E2483" s="5" t="s">
        <v>4965</v>
      </c>
      <c r="F2483" t="e">
        <f>_xlfn.XLOOKUP(A2483,[1]邦达数据库!$A:$A,[1]邦达数据库!$C:$C)</f>
        <v>#N/A</v>
      </c>
    </row>
    <row r="2484" ht="30" customHeight="1" spans="1:6">
      <c r="A2484" s="2" t="s">
        <v>5067</v>
      </c>
      <c r="B2484" s="3" t="s">
        <v>3713</v>
      </c>
      <c r="C2484" s="3" t="s">
        <v>3722</v>
      </c>
      <c r="D2484" s="3" t="s">
        <v>140</v>
      </c>
      <c r="E2484" s="3" t="s">
        <v>141</v>
      </c>
      <c r="F2484" t="e">
        <f>_xlfn.XLOOKUP(A2484,[1]邦达数据库!$A:$A,[1]邦达数据库!$C:$C)</f>
        <v>#N/A</v>
      </c>
    </row>
    <row r="2485" ht="30" customHeight="1" spans="1:6">
      <c r="A2485" s="4" t="s">
        <v>5068</v>
      </c>
      <c r="B2485" s="5" t="s">
        <v>1446</v>
      </c>
      <c r="C2485" s="5" t="s">
        <v>5069</v>
      </c>
      <c r="D2485" s="5" t="s">
        <v>568</v>
      </c>
      <c r="E2485" s="5" t="s">
        <v>569</v>
      </c>
      <c r="F2485" t="e">
        <f>_xlfn.XLOOKUP(A2485,[1]邦达数据库!$A:$A,[1]邦达数据库!$C:$C)</f>
        <v>#N/A</v>
      </c>
    </row>
    <row r="2486" ht="30" customHeight="1" spans="1:6">
      <c r="A2486" s="2" t="s">
        <v>5070</v>
      </c>
      <c r="B2486" s="3" t="s">
        <v>1446</v>
      </c>
      <c r="C2486" s="3" t="s">
        <v>5071</v>
      </c>
      <c r="D2486" s="3" t="s">
        <v>568</v>
      </c>
      <c r="E2486" s="3" t="s">
        <v>569</v>
      </c>
      <c r="F2486" t="e">
        <f>_xlfn.XLOOKUP(A2486,[1]邦达数据库!$A:$A,[1]邦达数据库!$C:$C)</f>
        <v>#N/A</v>
      </c>
    </row>
    <row r="2487" ht="30" customHeight="1" spans="1:6">
      <c r="A2487" s="4" t="s">
        <v>5072</v>
      </c>
      <c r="B2487" s="5" t="s">
        <v>5073</v>
      </c>
      <c r="C2487" s="5" t="s">
        <v>1979</v>
      </c>
      <c r="D2487" s="5" t="s">
        <v>4675</v>
      </c>
      <c r="E2487" s="5" t="s">
        <v>4676</v>
      </c>
      <c r="F2487" t="e">
        <f>_xlfn.XLOOKUP(A2487,[1]邦达数据库!$A:$A,[1]邦达数据库!$C:$C)</f>
        <v>#N/A</v>
      </c>
    </row>
    <row r="2488" ht="30" customHeight="1" spans="1:6">
      <c r="A2488" s="2" t="s">
        <v>5074</v>
      </c>
      <c r="B2488" s="3" t="s">
        <v>5073</v>
      </c>
      <c r="C2488" s="3" t="s">
        <v>1979</v>
      </c>
      <c r="D2488" s="3" t="s">
        <v>4675</v>
      </c>
      <c r="E2488" s="3" t="s">
        <v>4676</v>
      </c>
      <c r="F2488" t="e">
        <f>_xlfn.XLOOKUP(A2488,[1]邦达数据库!$A:$A,[1]邦达数据库!$C:$C)</f>
        <v>#N/A</v>
      </c>
    </row>
    <row r="2489" ht="30" customHeight="1" spans="1:6">
      <c r="A2489" s="4" t="s">
        <v>5075</v>
      </c>
      <c r="B2489" s="5" t="s">
        <v>5076</v>
      </c>
      <c r="C2489" s="5" t="s">
        <v>1467</v>
      </c>
      <c r="D2489" s="5" t="s">
        <v>326</v>
      </c>
      <c r="E2489" s="5" t="s">
        <v>327</v>
      </c>
      <c r="F2489" t="e">
        <f>_xlfn.XLOOKUP(A2489,[1]邦达数据库!$A:$A,[1]邦达数据库!$C:$C)</f>
        <v>#N/A</v>
      </c>
    </row>
    <row r="2490" ht="30" customHeight="1" spans="1:6">
      <c r="A2490" s="2" t="s">
        <v>5077</v>
      </c>
      <c r="B2490" s="3" t="s">
        <v>3044</v>
      </c>
      <c r="C2490" s="3" t="s">
        <v>3045</v>
      </c>
      <c r="D2490" s="3" t="s">
        <v>1920</v>
      </c>
      <c r="E2490" s="3" t="s">
        <v>1921</v>
      </c>
      <c r="F2490" t="e">
        <f>_xlfn.XLOOKUP(A2490,[1]邦达数据库!$A:$A,[1]邦达数据库!$C:$C)</f>
        <v>#N/A</v>
      </c>
    </row>
    <row r="2491" ht="30" customHeight="1" spans="1:6">
      <c r="A2491" s="4" t="s">
        <v>5078</v>
      </c>
      <c r="B2491" s="5" t="s">
        <v>3044</v>
      </c>
      <c r="C2491" s="5" t="s">
        <v>3045</v>
      </c>
      <c r="D2491" s="5" t="s">
        <v>1920</v>
      </c>
      <c r="E2491" s="5" t="s">
        <v>1921</v>
      </c>
      <c r="F2491" t="e">
        <f>_xlfn.XLOOKUP(A2491,[1]邦达数据库!$A:$A,[1]邦达数据库!$C:$C)</f>
        <v>#N/A</v>
      </c>
    </row>
    <row r="2492" ht="30" customHeight="1" spans="1:6">
      <c r="A2492" s="2" t="s">
        <v>5079</v>
      </c>
      <c r="B2492" s="3" t="s">
        <v>3044</v>
      </c>
      <c r="C2492" s="3" t="s">
        <v>3045</v>
      </c>
      <c r="D2492" s="3" t="s">
        <v>1920</v>
      </c>
      <c r="E2492" s="3" t="s">
        <v>1921</v>
      </c>
      <c r="F2492" t="e">
        <f>_xlfn.XLOOKUP(A2492,[1]邦达数据库!$A:$A,[1]邦达数据库!$C:$C)</f>
        <v>#N/A</v>
      </c>
    </row>
    <row r="2493" ht="30" customHeight="1" spans="1:6">
      <c r="A2493" s="4" t="s">
        <v>5080</v>
      </c>
      <c r="B2493" s="5" t="s">
        <v>3044</v>
      </c>
      <c r="C2493" s="5" t="s">
        <v>3045</v>
      </c>
      <c r="D2493" s="5" t="s">
        <v>1920</v>
      </c>
      <c r="E2493" s="5" t="s">
        <v>1921</v>
      </c>
      <c r="F2493" t="e">
        <f>_xlfn.XLOOKUP(A2493,[1]邦达数据库!$A:$A,[1]邦达数据库!$C:$C)</f>
        <v>#N/A</v>
      </c>
    </row>
    <row r="2494" ht="30" customHeight="1" spans="1:6">
      <c r="A2494" s="2" t="s">
        <v>5081</v>
      </c>
      <c r="B2494" s="3" t="s">
        <v>3044</v>
      </c>
      <c r="C2494" s="3" t="s">
        <v>3045</v>
      </c>
      <c r="D2494" s="3" t="s">
        <v>1920</v>
      </c>
      <c r="E2494" s="3" t="s">
        <v>1921</v>
      </c>
      <c r="F2494" t="e">
        <f>_xlfn.XLOOKUP(A2494,[1]邦达数据库!$A:$A,[1]邦达数据库!$C:$C)</f>
        <v>#N/A</v>
      </c>
    </row>
    <row r="2495" ht="30" customHeight="1" spans="1:6">
      <c r="A2495" s="4" t="s">
        <v>5082</v>
      </c>
      <c r="B2495" s="5" t="s">
        <v>5083</v>
      </c>
      <c r="C2495" s="5" t="s">
        <v>5084</v>
      </c>
      <c r="D2495" s="5" t="s">
        <v>1341</v>
      </c>
      <c r="E2495" s="5" t="s">
        <v>1342</v>
      </c>
      <c r="F2495" t="e">
        <f>_xlfn.XLOOKUP(A2495,[1]邦达数据库!$A:$A,[1]邦达数据库!$C:$C)</f>
        <v>#N/A</v>
      </c>
    </row>
    <row r="2496" ht="30" customHeight="1" spans="1:6">
      <c r="A2496" s="2" t="s">
        <v>5085</v>
      </c>
      <c r="B2496" s="3" t="s">
        <v>5083</v>
      </c>
      <c r="C2496" s="3" t="s">
        <v>5084</v>
      </c>
      <c r="D2496" s="3" t="s">
        <v>3356</v>
      </c>
      <c r="E2496" s="3" t="s">
        <v>3357</v>
      </c>
      <c r="F2496" t="e">
        <f>_xlfn.XLOOKUP(A2496,[1]邦达数据库!$A:$A,[1]邦达数据库!$C:$C)</f>
        <v>#N/A</v>
      </c>
    </row>
    <row r="2497" ht="30" customHeight="1" spans="1:6">
      <c r="A2497" s="4" t="s">
        <v>5086</v>
      </c>
      <c r="B2497" s="5" t="s">
        <v>5087</v>
      </c>
      <c r="C2497" s="5" t="s">
        <v>1141</v>
      </c>
      <c r="D2497" s="5" t="s">
        <v>568</v>
      </c>
      <c r="E2497" s="5" t="s">
        <v>569</v>
      </c>
      <c r="F2497" t="e">
        <f>_xlfn.XLOOKUP(A2497,[1]邦达数据库!$A:$A,[1]邦达数据库!$C:$C)</f>
        <v>#N/A</v>
      </c>
    </row>
    <row r="2498" ht="30" customHeight="1" spans="1:6">
      <c r="A2498" s="2" t="s">
        <v>5088</v>
      </c>
      <c r="B2498" s="3" t="s">
        <v>5087</v>
      </c>
      <c r="C2498" s="3" t="s">
        <v>1141</v>
      </c>
      <c r="D2498" s="3" t="s">
        <v>1052</v>
      </c>
      <c r="E2498" s="3" t="s">
        <v>1053</v>
      </c>
      <c r="F2498" t="e">
        <f>_xlfn.XLOOKUP(A2498,[1]邦达数据库!$A:$A,[1]邦达数据库!$C:$C)</f>
        <v>#N/A</v>
      </c>
    </row>
    <row r="2499" ht="30" customHeight="1" spans="1:6">
      <c r="A2499" s="4" t="s">
        <v>5089</v>
      </c>
      <c r="B2499" s="5" t="s">
        <v>5090</v>
      </c>
      <c r="C2499" s="5" t="s">
        <v>335</v>
      </c>
      <c r="D2499" s="5" t="s">
        <v>518</v>
      </c>
      <c r="E2499" s="5" t="s">
        <v>519</v>
      </c>
      <c r="F2499" t="e">
        <f>_xlfn.XLOOKUP(A2499,[1]邦达数据库!$A:$A,[1]邦达数据库!$C:$C)</f>
        <v>#N/A</v>
      </c>
    </row>
    <row r="2500" ht="30" customHeight="1" spans="1:6">
      <c r="A2500" s="2" t="s">
        <v>5091</v>
      </c>
      <c r="B2500" s="3" t="s">
        <v>3044</v>
      </c>
      <c r="C2500" s="3" t="s">
        <v>5092</v>
      </c>
      <c r="D2500" s="3" t="s">
        <v>518</v>
      </c>
      <c r="E2500" s="3" t="s">
        <v>519</v>
      </c>
      <c r="F2500" t="e">
        <f>_xlfn.XLOOKUP(A2500,[1]邦达数据库!$A:$A,[1]邦达数据库!$C:$C)</f>
        <v>#N/A</v>
      </c>
    </row>
    <row r="2501" ht="30" customHeight="1" spans="1:6">
      <c r="A2501" s="4" t="s">
        <v>5093</v>
      </c>
      <c r="B2501" s="5" t="s">
        <v>5094</v>
      </c>
      <c r="C2501" s="5" t="s">
        <v>2190</v>
      </c>
      <c r="D2501" s="5" t="s">
        <v>280</v>
      </c>
      <c r="E2501" s="5" t="s">
        <v>281</v>
      </c>
      <c r="F2501" t="e">
        <f>_xlfn.XLOOKUP(A2501,[1]邦达数据库!$A:$A,[1]邦达数据库!$C:$C)</f>
        <v>#N/A</v>
      </c>
    </row>
    <row r="2502" ht="30" customHeight="1"/>
    <row r="2503" ht="30" customHeight="1"/>
    <row r="2504" ht="30" customHeight="1"/>
    <row r="2505" ht="30" customHeight="1"/>
    <row r="2506" ht="30" customHeight="1"/>
    <row r="2507" ht="30" customHeight="1"/>
    <row r="2508" ht="30" customHeight="1"/>
    <row r="2509" ht="30" customHeight="1"/>
    <row r="2510" ht="30" customHeight="1"/>
    <row r="2511" ht="30" customHeight="1"/>
    <row r="2512" ht="30" customHeight="1"/>
    <row r="2513" ht="30" customHeight="1"/>
    <row r="2514" ht="30" customHeight="1"/>
    <row r="2515" ht="30" customHeight="1"/>
    <row r="2516" ht="30" customHeight="1"/>
    <row r="2517" ht="30" customHeight="1"/>
    <row r="2518" ht="30" customHeight="1"/>
    <row r="2519" ht="30" customHeight="1"/>
    <row r="2520" ht="30" customHeight="1"/>
    <row r="2521" ht="30" customHeight="1"/>
    <row r="2522" ht="30" customHeight="1"/>
    <row r="2523" ht="30" customHeight="1"/>
    <row r="2524" ht="30" customHeight="1"/>
    <row r="2525" ht="30" customHeight="1"/>
    <row r="2526" ht="30" customHeight="1"/>
    <row r="2527" ht="30" customHeight="1"/>
    <row r="2528" ht="30" customHeight="1"/>
    <row r="2529" ht="30" customHeight="1"/>
    <row r="2530" ht="30" customHeight="1"/>
    <row r="2531" ht="30" customHeight="1"/>
    <row r="2532" ht="30" customHeight="1"/>
    <row r="2533" ht="30" customHeight="1"/>
    <row r="2534" ht="30" customHeight="1"/>
    <row r="2535" ht="30" customHeight="1"/>
    <row r="2536" ht="30" customHeight="1"/>
    <row r="2537" ht="30" customHeight="1"/>
    <row r="2538" ht="30" customHeight="1"/>
    <row r="2539" ht="30" customHeight="1"/>
    <row r="2540" ht="30" customHeight="1"/>
    <row r="2541" ht="30" customHeight="1"/>
    <row r="2542" ht="30" customHeight="1"/>
    <row r="2543" ht="30" customHeight="1"/>
    <row r="2544" ht="30" customHeight="1"/>
    <row r="2545" ht="30" customHeight="1"/>
    <row r="2546" ht="30" customHeight="1"/>
    <row r="2547" ht="30" customHeight="1"/>
    <row r="2548" ht="30" customHeight="1"/>
    <row r="2549" ht="30" customHeight="1"/>
    <row r="2550" ht="30" customHeight="1"/>
    <row r="2551" ht="30" customHeight="1"/>
    <row r="2552" ht="30" customHeight="1"/>
    <row r="2553" ht="30" customHeight="1"/>
    <row r="2554" ht="30" customHeight="1"/>
    <row r="2555" ht="30" customHeight="1"/>
    <row r="2556" ht="30" customHeight="1"/>
    <row r="2557" ht="30" customHeight="1"/>
    <row r="2558" ht="30" customHeight="1"/>
    <row r="2559" ht="30" customHeight="1"/>
    <row r="2560" ht="30" customHeight="1"/>
    <row r="2561" ht="30" customHeight="1"/>
    <row r="2562" ht="30" customHeight="1"/>
    <row r="2563" ht="30" customHeight="1"/>
    <row r="2564" ht="30" customHeight="1"/>
    <row r="2565" ht="30" customHeight="1"/>
    <row r="2566" ht="30" customHeight="1"/>
    <row r="2567" ht="30" customHeight="1"/>
    <row r="2568" ht="30" customHeight="1"/>
    <row r="2569" ht="30" customHeight="1"/>
    <row r="2570" ht="30" customHeight="1"/>
    <row r="2571" ht="30" customHeight="1"/>
    <row r="2572" ht="30" customHeight="1"/>
    <row r="2573" ht="30" customHeight="1"/>
    <row r="2574" ht="30" customHeight="1"/>
    <row r="2575" ht="30" customHeight="1"/>
    <row r="2576" ht="30" customHeight="1"/>
    <row r="2577" ht="30" customHeight="1"/>
    <row r="2578" ht="30" customHeight="1"/>
    <row r="2579" ht="30" customHeight="1"/>
    <row r="2580" ht="30" customHeight="1"/>
    <row r="2581" ht="30" customHeight="1"/>
    <row r="2582" ht="30" customHeight="1"/>
    <row r="2583" ht="30" customHeight="1"/>
    <row r="2584" ht="30" customHeight="1"/>
    <row r="2585" ht="30" customHeight="1"/>
    <row r="2586" ht="30" customHeight="1"/>
    <row r="2587" ht="30" customHeight="1"/>
    <row r="2588" ht="30" customHeight="1"/>
    <row r="2589" ht="30" customHeight="1"/>
    <row r="2590" ht="30" customHeight="1"/>
    <row r="2591" ht="30" customHeight="1"/>
    <row r="2592" ht="30" customHeight="1"/>
    <row r="2593" ht="30" customHeight="1"/>
    <row r="2594" ht="30" customHeight="1"/>
    <row r="2595" ht="30" customHeight="1"/>
    <row r="2596" ht="30" customHeight="1"/>
    <row r="2597" ht="30" customHeight="1"/>
    <row r="2598" ht="30" customHeight="1"/>
    <row r="2599" ht="30" customHeight="1"/>
    <row r="2600" ht="30" customHeight="1"/>
    <row r="2601" ht="30" customHeight="1"/>
    <row r="2602" ht="30" customHeight="1"/>
    <row r="2603" ht="30" customHeight="1"/>
    <row r="2604" ht="30" customHeight="1"/>
    <row r="2605" ht="30" customHeight="1"/>
    <row r="2606" ht="30" customHeight="1"/>
    <row r="2607" ht="30" customHeight="1"/>
    <row r="2608" ht="30" customHeight="1"/>
    <row r="2609" ht="30" customHeight="1"/>
    <row r="2610" ht="30" customHeight="1"/>
    <row r="2611" ht="30" customHeight="1"/>
    <row r="2612" ht="30" customHeight="1"/>
    <row r="2613" ht="30" customHeight="1"/>
    <row r="2614" ht="30" customHeight="1"/>
    <row r="2615" ht="30" customHeight="1"/>
    <row r="2616" ht="30" customHeight="1"/>
    <row r="2617" ht="30" customHeight="1"/>
    <row r="2618" ht="30" customHeight="1"/>
    <row r="2619" ht="30" customHeight="1"/>
    <row r="2620" ht="30" customHeight="1"/>
    <row r="2621" ht="30" customHeight="1"/>
    <row r="2622" ht="30" customHeight="1"/>
    <row r="2623" ht="30" customHeight="1"/>
    <row r="2624" ht="30" customHeight="1"/>
    <row r="2625" ht="30" customHeight="1"/>
    <row r="2626" ht="30" customHeight="1"/>
    <row r="2627" ht="30" customHeight="1"/>
    <row r="2628" ht="30" customHeight="1"/>
    <row r="2629" ht="30" customHeight="1"/>
    <row r="2630" ht="30" customHeight="1"/>
    <row r="2631" ht="30" customHeight="1"/>
    <row r="2632" ht="30" customHeight="1"/>
    <row r="2633" ht="30" customHeight="1"/>
    <row r="2634" ht="30" customHeight="1"/>
    <row r="2635" ht="30" customHeight="1"/>
    <row r="2636" ht="30" customHeight="1"/>
    <row r="2637" ht="30" customHeight="1"/>
    <row r="2638" ht="30" customHeight="1"/>
    <row r="2639" ht="30" customHeight="1"/>
    <row r="2640" ht="30" customHeight="1"/>
    <row r="2641" ht="30" customHeight="1"/>
    <row r="2642" ht="30" customHeight="1"/>
    <row r="2643" ht="30" customHeight="1"/>
    <row r="2644" ht="30" customHeight="1"/>
    <row r="2645" ht="30" customHeight="1"/>
    <row r="2646" ht="30" customHeight="1"/>
    <row r="2647" ht="30" customHeight="1"/>
    <row r="2648" ht="30" customHeight="1"/>
    <row r="2649" ht="30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SKU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Serena</cp:lastModifiedBy>
  <dcterms:created xsi:type="dcterms:W3CDTF">2026-06-10T20:17:00Z</dcterms:created>
  <dcterms:modified xsi:type="dcterms:W3CDTF">2026-06-12T03:18:17Z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CalculationRule">
    <vt:i4>0</vt:i4>
  </property>
  <property fmtid="{D5CDD505-2E9C-101B-9397-08002B2CF9AE}" pid="4" name="ICV">
    <vt:lpwstr>AFACD50D2CB346B3A13B13DF95CE3BF0_13</vt:lpwstr>
  </property>
</Properties>
</file>